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579a1b86c13ae3a/Excel Files/Football/Data Csv/Misc/"/>
    </mc:Choice>
  </mc:AlternateContent>
  <xr:revisionPtr revIDLastSave="50" documentId="13_ncr:1_{0549A733-666C-4A08-85E1-EEFDFEE8B3C4}" xr6:coauthVersionLast="47" xr6:coauthVersionMax="47" xr10:uidLastSave="{C2012A2C-D5B9-4739-9DBA-07C7FB4BF650}"/>
  <bookViews>
    <workbookView xWindow="25490" yWindow="-4750" windowWidth="34620" windowHeight="13900" xr2:uid="{D14CBF27-2902-40BA-9454-E233A1E23B8B}"/>
  </bookViews>
  <sheets>
    <sheet name="Table" sheetId="2" r:id="rId1"/>
    <sheet name="Sheet1" sheetId="1" r:id="rId2"/>
  </sheets>
  <definedNames>
    <definedName name="_xlnm._FilterDatabase" localSheetId="1" hidden="1">Sheet1!$B$1:$D$121</definedName>
    <definedName name="_xlnm._FilterDatabase" localSheetId="0" hidden="1">Table!$A$1:$C$177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24" i="1" l="1"/>
  <c r="K126" i="1"/>
  <c r="K127" i="1"/>
  <c r="K129" i="1"/>
  <c r="K130" i="1"/>
  <c r="K131" i="1"/>
  <c r="K132" i="1"/>
  <c r="I76" i="1"/>
  <c r="J74" i="1" s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A114" i="1"/>
  <c r="A93" i="1"/>
  <c r="A91" i="1"/>
  <c r="A92" i="1"/>
  <c r="A69" i="1"/>
  <c r="A70" i="1"/>
  <c r="A58" i="1"/>
  <c r="A35" i="1"/>
  <c r="A37" i="1"/>
  <c r="A36" i="1"/>
  <c r="A14" i="1"/>
  <c r="A13" i="1"/>
  <c r="A2" i="1"/>
  <c r="A126" i="1"/>
  <c r="A115" i="1"/>
  <c r="A95" i="1"/>
  <c r="A94" i="1"/>
  <c r="A72" i="1"/>
  <c r="A71" i="1"/>
  <c r="A59" i="1"/>
  <c r="A39" i="1"/>
  <c r="A38" i="1"/>
  <c r="A15" i="1"/>
  <c r="A16" i="1"/>
  <c r="A3" i="1"/>
  <c r="A127" i="1"/>
  <c r="A116" i="1"/>
  <c r="A96" i="1"/>
  <c r="A97" i="1"/>
  <c r="A74" i="1"/>
  <c r="A73" i="1"/>
  <c r="A60" i="1"/>
  <c r="A41" i="1"/>
  <c r="A40" i="1"/>
  <c r="A17" i="1"/>
  <c r="A18" i="1"/>
  <c r="A4" i="1"/>
  <c r="A128" i="1"/>
  <c r="A117" i="1"/>
  <c r="A99" i="1"/>
  <c r="A98" i="1"/>
  <c r="A75" i="1"/>
  <c r="A76" i="1"/>
  <c r="A61" i="1"/>
  <c r="A43" i="1"/>
  <c r="A42" i="1"/>
  <c r="A19" i="1"/>
  <c r="A20" i="1"/>
  <c r="A5" i="1"/>
  <c r="A129" i="1"/>
  <c r="A118" i="1"/>
  <c r="A101" i="1"/>
  <c r="A100" i="1"/>
  <c r="A78" i="1"/>
  <c r="A77" i="1"/>
  <c r="A62" i="1"/>
  <c r="A45" i="1"/>
  <c r="A44" i="1"/>
  <c r="A22" i="1"/>
  <c r="A21" i="1"/>
  <c r="A6" i="1"/>
  <c r="A130" i="1"/>
  <c r="A119" i="1"/>
  <c r="A103" i="1"/>
  <c r="A102" i="1"/>
  <c r="A79" i="1"/>
  <c r="A80" i="1"/>
  <c r="A63" i="1"/>
  <c r="A46" i="1"/>
  <c r="A47" i="1"/>
  <c r="A24" i="1"/>
  <c r="A23" i="1"/>
  <c r="A7" i="1"/>
  <c r="A131" i="1"/>
  <c r="A120" i="1"/>
  <c r="A105" i="1"/>
  <c r="A104" i="1"/>
  <c r="A82" i="1"/>
  <c r="A81" i="1"/>
  <c r="A64" i="1"/>
  <c r="A48" i="1"/>
  <c r="A49" i="1"/>
  <c r="A26" i="1"/>
  <c r="A25" i="1"/>
  <c r="A8" i="1"/>
  <c r="A132" i="1"/>
  <c r="A121" i="1"/>
  <c r="A107" i="1"/>
  <c r="A106" i="1"/>
  <c r="A83" i="1"/>
  <c r="A84" i="1"/>
  <c r="A65" i="1"/>
  <c r="A50" i="1"/>
  <c r="A51" i="1"/>
  <c r="A27" i="1"/>
  <c r="A28" i="1"/>
  <c r="A9" i="1"/>
  <c r="A133" i="1"/>
  <c r="A122" i="1"/>
  <c r="A109" i="1"/>
  <c r="A108" i="1"/>
  <c r="A86" i="1"/>
  <c r="A85" i="1"/>
  <c r="A66" i="1"/>
  <c r="A53" i="1"/>
  <c r="A52" i="1"/>
  <c r="A29" i="1"/>
  <c r="A30" i="1"/>
  <c r="A10" i="1"/>
  <c r="A134" i="1"/>
  <c r="A123" i="1"/>
  <c r="A110" i="1"/>
  <c r="A111" i="1"/>
  <c r="A87" i="1"/>
  <c r="A88" i="1"/>
  <c r="A67" i="1"/>
  <c r="A55" i="1"/>
  <c r="A54" i="1"/>
  <c r="A32" i="1"/>
  <c r="A31" i="1"/>
  <c r="A11" i="1"/>
  <c r="A135" i="1"/>
  <c r="A124" i="1"/>
  <c r="A112" i="1"/>
  <c r="A113" i="1"/>
  <c r="A89" i="1"/>
  <c r="A90" i="1"/>
  <c r="A68" i="1"/>
  <c r="A56" i="1"/>
  <c r="A57" i="1"/>
  <c r="A33" i="1"/>
  <c r="A34" i="1"/>
  <c r="A12" i="1"/>
  <c r="A125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17" i="1"/>
  <c r="J2" i="1"/>
  <c r="J3" i="1"/>
  <c r="J4" i="1"/>
  <c r="J5" i="1"/>
  <c r="J6" i="1"/>
  <c r="J7" i="1"/>
  <c r="J8" i="1"/>
  <c r="J9" i="1"/>
  <c r="J10" i="1"/>
  <c r="J11" i="1"/>
  <c r="J12" i="1"/>
  <c r="M33" i="1" l="1"/>
  <c r="M64" i="1"/>
  <c r="M60" i="1"/>
  <c r="M56" i="1"/>
  <c r="M52" i="1"/>
  <c r="M48" i="1"/>
  <c r="M44" i="1"/>
  <c r="M40" i="1"/>
  <c r="M36" i="1"/>
  <c r="M32" i="1"/>
  <c r="M28" i="1"/>
  <c r="M24" i="1"/>
  <c r="M20" i="1"/>
  <c r="J73" i="1"/>
  <c r="M63" i="1"/>
  <c r="M59" i="1"/>
  <c r="M55" i="1"/>
  <c r="M51" i="1"/>
  <c r="M47" i="1"/>
  <c r="M43" i="1"/>
  <c r="M39" i="1"/>
  <c r="M35" i="1"/>
  <c r="M31" i="1"/>
  <c r="M27" i="1"/>
  <c r="M23" i="1"/>
  <c r="M19" i="1"/>
  <c r="J70" i="1"/>
  <c r="J72" i="1"/>
  <c r="M66" i="1"/>
  <c r="M62" i="1"/>
  <c r="M58" i="1"/>
  <c r="M54" i="1"/>
  <c r="M50" i="1"/>
  <c r="M46" i="1"/>
  <c r="M42" i="1"/>
  <c r="M38" i="1"/>
  <c r="M34" i="1"/>
  <c r="M30" i="1"/>
  <c r="M26" i="1"/>
  <c r="M22" i="1"/>
  <c r="M18" i="1"/>
  <c r="J75" i="1"/>
  <c r="J71" i="1"/>
  <c r="M65" i="1"/>
  <c r="M61" i="1"/>
  <c r="M57" i="1"/>
  <c r="M53" i="1"/>
  <c r="M49" i="1"/>
  <c r="M45" i="1"/>
  <c r="M41" i="1"/>
  <c r="M37" i="1"/>
  <c r="M29" i="1"/>
  <c r="M25" i="1"/>
  <c r="M21" i="1"/>
  <c r="M17" i="1"/>
  <c r="J13" i="1"/>
</calcChain>
</file>

<file path=xl/sharedStrings.xml><?xml version="1.0" encoding="utf-8"?>
<sst xmlns="http://schemas.openxmlformats.org/spreadsheetml/2006/main" count="1080" uniqueCount="111">
  <si>
    <t>Season</t>
  </si>
  <si>
    <t>Superbowl Winner</t>
  </si>
  <si>
    <t>Superbowl Loser</t>
  </si>
  <si>
    <t>NFC Champ Loser</t>
  </si>
  <si>
    <t>AFC Champ Loser</t>
  </si>
  <si>
    <t>NFC Divisional Loser</t>
  </si>
  <si>
    <t>AFC Divisional Loser</t>
  </si>
  <si>
    <t>NFC Wild Card Loser</t>
  </si>
  <si>
    <t>AFC Wild Card Loser</t>
  </si>
  <si>
    <t>KC</t>
  </si>
  <si>
    <t>SF</t>
  </si>
  <si>
    <t>GB</t>
  </si>
  <si>
    <t>TEN</t>
  </si>
  <si>
    <t>SEA</t>
  </si>
  <si>
    <t>MIN</t>
  </si>
  <si>
    <t>HOU</t>
  </si>
  <si>
    <t>BAL</t>
  </si>
  <si>
    <t>PHI</t>
  </si>
  <si>
    <t>NO</t>
  </si>
  <si>
    <t>BUF</t>
  </si>
  <si>
    <t>NE</t>
  </si>
  <si>
    <t>DAL</t>
  </si>
  <si>
    <t>IND</t>
  </si>
  <si>
    <t>LAC</t>
  </si>
  <si>
    <t>CHI</t>
  </si>
  <si>
    <t>JAX</t>
  </si>
  <si>
    <t>ATL</t>
  </si>
  <si>
    <t>PIT</t>
  </si>
  <si>
    <t>CAR</t>
  </si>
  <si>
    <t>DET</t>
  </si>
  <si>
    <t>NYG</t>
  </si>
  <si>
    <t>OAK</t>
  </si>
  <si>
    <t>MIA</t>
  </si>
  <si>
    <t>DEN</t>
  </si>
  <si>
    <t>ARI</t>
  </si>
  <si>
    <t>WAS</t>
  </si>
  <si>
    <t>CIN</t>
  </si>
  <si>
    <t>JET</t>
  </si>
  <si>
    <t>Result</t>
  </si>
  <si>
    <t>team</t>
  </si>
  <si>
    <t>TB</t>
  </si>
  <si>
    <t>SuperBowl Winner</t>
  </si>
  <si>
    <t>SuperBowl Loser</t>
  </si>
  <si>
    <t>CLE</t>
  </si>
  <si>
    <t>LAR</t>
  </si>
  <si>
    <t>QB Cap Hit</t>
  </si>
  <si>
    <t>Year</t>
  </si>
  <si>
    <t>Salary Cap</t>
  </si>
  <si>
    <t>Percent Increase</t>
  </si>
  <si>
    <t>Column1</t>
  </si>
  <si>
    <t>Cap Hit</t>
  </si>
  <si>
    <t>Team</t>
  </si>
  <si>
    <t>Cap %</t>
  </si>
  <si>
    <t>NYJ</t>
  </si>
  <si>
    <t>Top 5 Cap Hits</t>
  </si>
  <si>
    <t>SB Win</t>
  </si>
  <si>
    <t>2011 Giants</t>
  </si>
  <si>
    <t>SB Loss</t>
  </si>
  <si>
    <t>13 Broncos &amp; '16 Falcons</t>
  </si>
  <si>
    <t>Champ Loss</t>
  </si>
  <si>
    <t>19 Packers, '12 Falcons, '16 Steelers, &amp; '13 Patriots</t>
  </si>
  <si>
    <t>Divisional Loss</t>
  </si>
  <si>
    <t>Wild Card Loss</t>
  </si>
  <si>
    <t>Missed Playoffs</t>
  </si>
  <si>
    <t>Total</t>
  </si>
  <si>
    <t>Most Frequent Apps</t>
  </si>
  <si>
    <t>SB Loss, Champ Loss, Divisional Loss, Missed</t>
  </si>
  <si>
    <t>Divisional Loss x2, Missed x2</t>
  </si>
  <si>
    <t>SB Win, Wild card loss, Missed x2</t>
  </si>
  <si>
    <t>Missed x2, Wild card loss (W/Lamar)</t>
  </si>
  <si>
    <t>Divisional Loss, Wild Card Loss, Missed</t>
  </si>
  <si>
    <t>Divisional Loss, Missed x2</t>
  </si>
  <si>
    <t>Champ Loss, Wild Card Loss, Missed</t>
  </si>
  <si>
    <t>SB Loss, Divisional Loss</t>
  </si>
  <si>
    <t>Champ Loss, Divisional Loss</t>
  </si>
  <si>
    <t xml:space="preserve">Missed x2 </t>
  </si>
  <si>
    <t xml:space="preserve">Divisional Loss, Wild Card Loss </t>
  </si>
  <si>
    <t>Wild Card Loss, Missed x4</t>
  </si>
  <si>
    <t>Average Cap Hit</t>
  </si>
  <si>
    <t>SB Teams</t>
  </si>
  <si>
    <t>Champ + SB</t>
  </si>
  <si>
    <t>Final 8</t>
  </si>
  <si>
    <t>Playoffs</t>
  </si>
  <si>
    <t>Median Cap Hit</t>
  </si>
  <si>
    <t>STD Cap Hit</t>
  </si>
  <si>
    <t>10+</t>
  </si>
  <si>
    <t>Notes</t>
  </si>
  <si>
    <t>Cheap Deal</t>
  </si>
  <si>
    <t>TB is 4 of the 10+ and 2 of the Cheap Deals, Only other 10+ Winners are the Mannings once each</t>
  </si>
  <si>
    <t>Champ and SB</t>
  </si>
  <si>
    <t>Repeat Final 8</t>
  </si>
  <si>
    <t>Repeat Champ &amp; SB</t>
  </si>
  <si>
    <t>Brady, Manning, Rodgers, &amp; Ryan Account for 12 of 13 10+ Apps.</t>
  </si>
  <si>
    <t>Brady, SF, Mahomes, Wilson, BAL account for all 15 Cheap Deals</t>
  </si>
  <si>
    <t>24 of 37 10+ Apps were Brees, Brady, Rodgers, Manning, Ryan, Roethlisberger</t>
  </si>
  <si>
    <t>21 of 35 Cheap Deals were SF, Wilson, Brady, Mahomes, Watson, BAL, Rodgers</t>
  </si>
  <si>
    <t>Of the remaining 14 Cheap Deals, 9 were: Newton-3, Luck-2, Dak-2, Goff-1, Wentz-1</t>
  </si>
  <si>
    <t>The Harbaughs appear to be only two Coaches to maintain consistent Deep Playoff Success with Cheap Deal AVG QBs</t>
  </si>
  <si>
    <t>Likely Need to take a Top Pick QB and have them be Above AVG even on cheap deal</t>
  </si>
  <si>
    <t>SB Matchups</t>
  </si>
  <si>
    <t>10vs10</t>
  </si>
  <si>
    <t>10vsCheap</t>
  </si>
  <si>
    <t>CheapvsCheap</t>
  </si>
  <si>
    <t>Count</t>
  </si>
  <si>
    <t>10 Wins</t>
  </si>
  <si>
    <t>Cheap Wins</t>
  </si>
  <si>
    <t>-</t>
  </si>
  <si>
    <t>Brady accounts for 3 of the 10+ wins and 1 of the cheap wins</t>
  </si>
  <si>
    <t>LAX</t>
  </si>
  <si>
    <t>LA</t>
  </si>
  <si>
    <t>LV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</si>
</sst>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8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164" fontId="0" fillId="0" borderId="0" xfId="1" applyNumberFormat="1" applyFont="1"/>
    <xf numFmtId="9" fontId="0" fillId="0" borderId="0" xfId="1" applyFont="1"/>
    <xf numFmtId="164" fontId="0" fillId="0" borderId="0" xfId="0" applyNumberFormat="1"/>
    <xf numFmtId="2" fontId="0" fillId="0" borderId="0" xfId="0" applyNumberFormat="1"/>
    <xf numFmtId="0" fontId="0" fillId="0" borderId="0" xfId="0" quotePrefix="1"/>
    <xf numFmtId="0" fontId="2" fillId="0" borderId="0" xfId="0" applyFont="1" applyAlignment="1">
      <alignment horizontal="right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5"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7C6823-F32A-41BF-BD6E-FFC8D3963FF9}" name="Table37" displayName="Table37" ref="A1:C337" totalsRowShown="0">
  <autoFilter ref="A1:C337" xr:uid="{6323E096-3F9F-409F-BF1C-1310BA4880A2}"/>
  <sortState xmlns:xlrd2="http://schemas.microsoft.com/office/spreadsheetml/2017/richdata2" ref="A2:C337">
    <sortCondition descending="1" ref="A1:A337"/>
  </sortState>
  <tableColumns count="3">
    <tableColumn id="2" xr3:uid="{654CDA23-792C-4F18-BA1C-1ABAA1169ED4}" name="Season"/>
    <tableColumn id="3" xr3:uid="{37FAE0E4-5BCA-41BA-8D0A-E9B7D83F7F3E}" name="team"/>
    <tableColumn id="4" xr3:uid="{8CDA747F-930C-4D35-87FA-E92BB408C71C}" name="Result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1F36F9-16DE-4D21-85BE-222EACE31E89}" name="Table1" displayName="Table1" ref="H1:J12" totalsRowShown="0">
  <autoFilter ref="H1:J12" xr:uid="{A4763568-424B-4F5B-A574-58E204675D55}"/>
  <tableColumns count="3">
    <tableColumn id="1" xr3:uid="{7805F5FD-8E2A-4BB7-B750-B93F118A8548}" name="Year"/>
    <tableColumn id="2" xr3:uid="{6EE5BC5A-6F76-41AD-B0AF-8C3078E61E17}" name="Salary Cap"/>
    <tableColumn id="3" xr3:uid="{5CDD20C4-4857-48A8-8CBE-77176023ACEB}" name="Percent Increase" dataDxfId="4">
      <calculatedColumnFormula>I2/I3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084709-11D5-44D5-B2C8-DC5D1B6CF29D}" name="Table2" displayName="Table2" ref="H16:M66" totalsRowShown="0">
  <autoFilter ref="H16:M66" xr:uid="{E7F3D848-CF59-4490-80A5-977E47843CBA}"/>
  <sortState xmlns:xlrd2="http://schemas.microsoft.com/office/spreadsheetml/2017/richdata2" ref="H17:M66">
    <sortCondition descending="1" ref="I16:I66"/>
  </sortState>
  <tableColumns count="6">
    <tableColumn id="6" xr3:uid="{AB4A215F-AF43-4B56-8646-D5E0064D8909}" name="Column1" dataDxfId="3">
      <calculatedColumnFormula>_xlfn.CONCAT(Table2[[#This Row],[Year]],Table2[[#This Row],[Team]])</calculatedColumnFormula>
    </tableColumn>
    <tableColumn id="1" xr3:uid="{1290586C-BCE3-4318-A1C2-C9A6FE57A744}" name="Year"/>
    <tableColumn id="2" xr3:uid="{0F79FC5C-7702-4FD9-931A-0EDD50641030}" name="Team"/>
    <tableColumn id="3" xr3:uid="{904A68B3-DDA6-47D6-B16A-773022BC39C8}" name="Cap Hit"/>
    <tableColumn id="4" xr3:uid="{CA8A28C0-6180-4424-AA22-6DEF144365DE}" name="Cap %" dataDxfId="2">
      <calculatedColumnFormula>K17/VLOOKUP(I17,Table1[[Year]:[Salary Cap]],2,FALSE)*100</calculatedColumnFormula>
    </tableColumn>
    <tableColumn id="5" xr3:uid="{C7E5CE8B-4AE7-4531-96F1-DFABE2574380}" name="Result" dataDxfId="1">
      <calculatedColumnFormula>_xlfn.IFNA(VLOOKUP(Table2[[#This Row],[Column1]],Table3[[Column1]:[Result]],4,FALSE),"MISSED PLAYOFFS")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AC60A6-DC55-4318-9250-84921FD73F92}" name="Table3" displayName="Table3" ref="A1:E135" totalsRowShown="0">
  <autoFilter ref="A1:E135" xr:uid="{6323E096-3F9F-409F-BF1C-1310BA4880A2}"/>
  <sortState xmlns:xlrd2="http://schemas.microsoft.com/office/spreadsheetml/2017/richdata2" ref="A2:E135">
    <sortCondition ref="D1:D135"/>
  </sortState>
  <tableColumns count="5">
    <tableColumn id="1" xr3:uid="{2B3482C8-2E83-4A21-8ACC-3CA7EA5F9FF5}" name="Column1">
      <calculatedColumnFormula>_xlfn.CONCAT(B2,C2)</calculatedColumnFormula>
    </tableColumn>
    <tableColumn id="2" xr3:uid="{B8EC9688-EF95-4416-8A54-FBDE66093920}" name="Season"/>
    <tableColumn id="3" xr3:uid="{074C25F3-C5A5-4C38-9223-E57FB763B127}" name="team"/>
    <tableColumn id="4" xr3:uid="{85480A99-2C1A-44F5-B8A9-782E6B992043}" name="Result"/>
    <tableColumn id="5" xr3:uid="{7E2B3706-76B7-4393-86CE-02F97FBE59D1}" name="QB Cap Hit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A5F44-6D3F-47AE-81BE-726F9D6C7E34}">
  <dimension ref="A1:C337"/>
  <sheetViews>
    <sheetView tabSelected="1" workbookViewId="0">
      <selection activeCell="C10" sqref="C10"/>
    </sheetView>
  </sheetViews>
  <sheetFormatPr defaultRowHeight="15" x14ac:dyDescent="0.35"/>
  <cols>
    <col min="1" max="1" width="9.25" customWidth="1"/>
    <col min="3" max="4" width="18.125" bestFit="1" customWidth="1"/>
    <col min="5" max="5" width="14.4375" bestFit="1" customWidth="1"/>
    <col min="6" max="7" width="18.125" bestFit="1" customWidth="1"/>
  </cols>
  <sheetData>
    <row r="1" spans="1:3" x14ac:dyDescent="0.35">
      <c r="A1" t="s">
        <v>0</v>
      </c>
      <c r="B1" t="s">
        <v>39</v>
      </c>
      <c r="C1" t="s">
        <v>38</v>
      </c>
    </row>
    <row r="2" spans="1:3" x14ac:dyDescent="0.35">
      <c r="A2">
        <v>25</v>
      </c>
      <c r="B2" t="s">
        <v>109</v>
      </c>
      <c r="C2" t="s">
        <v>1</v>
      </c>
    </row>
    <row r="3" spans="1:3" x14ac:dyDescent="0.35">
      <c r="A3">
        <v>25</v>
      </c>
      <c r="B3" t="s">
        <v>20</v>
      </c>
      <c r="C3" t="s">
        <v>2</v>
      </c>
    </row>
    <row r="4" spans="1:3" x14ac:dyDescent="0.35">
      <c r="A4">
        <v>25</v>
      </c>
      <c r="B4" t="s">
        <v>33</v>
      </c>
      <c r="C4" t="s">
        <v>4</v>
      </c>
    </row>
    <row r="5" spans="1:3" x14ac:dyDescent="0.35">
      <c r="A5">
        <v>25</v>
      </c>
      <c r="B5" t="s">
        <v>13</v>
      </c>
      <c r="C5" t="s">
        <v>3</v>
      </c>
    </row>
    <row r="6" spans="1:3" x14ac:dyDescent="0.35">
      <c r="A6">
        <v>25</v>
      </c>
      <c r="B6" t="s">
        <v>15</v>
      </c>
      <c r="C6" t="s">
        <v>6</v>
      </c>
    </row>
    <row r="7" spans="1:3" x14ac:dyDescent="0.35">
      <c r="A7">
        <v>25</v>
      </c>
      <c r="B7" t="s">
        <v>19</v>
      </c>
      <c r="C7" t="s">
        <v>6</v>
      </c>
    </row>
    <row r="8" spans="1:3" x14ac:dyDescent="0.35">
      <c r="A8">
        <v>25</v>
      </c>
      <c r="B8" t="s">
        <v>10</v>
      </c>
      <c r="C8" t="s">
        <v>5</v>
      </c>
    </row>
    <row r="9" spans="1:3" x14ac:dyDescent="0.35">
      <c r="A9">
        <v>25</v>
      </c>
      <c r="B9" t="s">
        <v>24</v>
      </c>
      <c r="C9" t="s">
        <v>5</v>
      </c>
    </row>
    <row r="10" spans="1:3" x14ac:dyDescent="0.35">
      <c r="A10">
        <v>25</v>
      </c>
      <c r="B10" t="s">
        <v>25</v>
      </c>
      <c r="C10" t="s">
        <v>8</v>
      </c>
    </row>
    <row r="11" spans="1:3" x14ac:dyDescent="0.35">
      <c r="A11">
        <v>25</v>
      </c>
      <c r="B11" t="s">
        <v>11</v>
      </c>
      <c r="C11" t="s">
        <v>7</v>
      </c>
    </row>
    <row r="12" spans="1:3" x14ac:dyDescent="0.35">
      <c r="A12">
        <v>25</v>
      </c>
      <c r="B12" t="s">
        <v>17</v>
      </c>
      <c r="C12" t="s">
        <v>7</v>
      </c>
    </row>
    <row r="13" spans="1:3" x14ac:dyDescent="0.35">
      <c r="A13">
        <v>25</v>
      </c>
      <c r="B13" t="s">
        <v>23</v>
      </c>
      <c r="C13" t="s">
        <v>8</v>
      </c>
    </row>
    <row r="14" spans="1:3" x14ac:dyDescent="0.35">
      <c r="A14">
        <v>25</v>
      </c>
      <c r="B14" t="s">
        <v>27</v>
      </c>
      <c r="C14" t="s">
        <v>8</v>
      </c>
    </row>
    <row r="15" spans="1:3" x14ac:dyDescent="0.35">
      <c r="A15">
        <v>25</v>
      </c>
      <c r="B15" t="s">
        <v>28</v>
      </c>
      <c r="C15" t="s">
        <v>7</v>
      </c>
    </row>
    <row r="16" spans="1:3" x14ac:dyDescent="0.35">
      <c r="A16">
        <v>24</v>
      </c>
      <c r="B16" t="s">
        <v>17</v>
      </c>
      <c r="C16" t="s">
        <v>1</v>
      </c>
    </row>
    <row r="17" spans="1:3" x14ac:dyDescent="0.35">
      <c r="A17">
        <v>24</v>
      </c>
      <c r="B17" t="s">
        <v>9</v>
      </c>
      <c r="C17" t="s">
        <v>2</v>
      </c>
    </row>
    <row r="18" spans="1:3" x14ac:dyDescent="0.35">
      <c r="A18">
        <v>24</v>
      </c>
      <c r="B18" t="s">
        <v>40</v>
      </c>
      <c r="C18" t="s">
        <v>7</v>
      </c>
    </row>
    <row r="19" spans="1:3" x14ac:dyDescent="0.35">
      <c r="A19">
        <v>24</v>
      </c>
      <c r="B19" t="s">
        <v>11</v>
      </c>
      <c r="C19" t="s">
        <v>7</v>
      </c>
    </row>
    <row r="20" spans="1:3" x14ac:dyDescent="0.35">
      <c r="A20">
        <v>24</v>
      </c>
      <c r="B20" t="s">
        <v>14</v>
      </c>
      <c r="C20" t="s">
        <v>7</v>
      </c>
    </row>
    <row r="21" spans="1:3" x14ac:dyDescent="0.35">
      <c r="A21">
        <v>24</v>
      </c>
      <c r="B21" t="s">
        <v>109</v>
      </c>
      <c r="C21" t="s">
        <v>5</v>
      </c>
    </row>
    <row r="22" spans="1:3" x14ac:dyDescent="0.35">
      <c r="A22">
        <v>24</v>
      </c>
      <c r="B22" t="s">
        <v>29</v>
      </c>
      <c r="C22" t="s">
        <v>5</v>
      </c>
    </row>
    <row r="23" spans="1:3" x14ac:dyDescent="0.35">
      <c r="A23">
        <v>24</v>
      </c>
      <c r="B23" t="s">
        <v>35</v>
      </c>
      <c r="C23" t="s">
        <v>3</v>
      </c>
    </row>
    <row r="24" spans="1:3" x14ac:dyDescent="0.35">
      <c r="A24">
        <v>24</v>
      </c>
      <c r="B24" t="s">
        <v>23</v>
      </c>
      <c r="C24" t="s">
        <v>8</v>
      </c>
    </row>
    <row r="25" spans="1:3" x14ac:dyDescent="0.35">
      <c r="A25">
        <v>24</v>
      </c>
      <c r="B25" t="s">
        <v>33</v>
      </c>
      <c r="C25" t="s">
        <v>8</v>
      </c>
    </row>
    <row r="26" spans="1:3" x14ac:dyDescent="0.35">
      <c r="A26">
        <v>24</v>
      </c>
      <c r="B26" t="s">
        <v>27</v>
      </c>
      <c r="C26" t="s">
        <v>8</v>
      </c>
    </row>
    <row r="27" spans="1:3" x14ac:dyDescent="0.35">
      <c r="A27">
        <v>24</v>
      </c>
      <c r="B27" t="s">
        <v>16</v>
      </c>
      <c r="C27" t="s">
        <v>6</v>
      </c>
    </row>
    <row r="28" spans="1:3" x14ac:dyDescent="0.35">
      <c r="A28">
        <v>24</v>
      </c>
      <c r="B28" t="s">
        <v>15</v>
      </c>
      <c r="C28" t="s">
        <v>6</v>
      </c>
    </row>
    <row r="29" spans="1:3" x14ac:dyDescent="0.35">
      <c r="A29">
        <v>24</v>
      </c>
      <c r="B29" t="s">
        <v>19</v>
      </c>
      <c r="C29" t="s">
        <v>4</v>
      </c>
    </row>
    <row r="30" spans="1:3" x14ac:dyDescent="0.35">
      <c r="A30">
        <v>23</v>
      </c>
      <c r="B30" t="s">
        <v>9</v>
      </c>
      <c r="C30" t="s">
        <v>1</v>
      </c>
    </row>
    <row r="31" spans="1:3" x14ac:dyDescent="0.35">
      <c r="A31">
        <v>23</v>
      </c>
      <c r="B31" t="s">
        <v>10</v>
      </c>
      <c r="C31" t="s">
        <v>2</v>
      </c>
    </row>
    <row r="32" spans="1:3" x14ac:dyDescent="0.35">
      <c r="A32">
        <v>23</v>
      </c>
      <c r="B32" t="s">
        <v>17</v>
      </c>
      <c r="C32" t="s">
        <v>7</v>
      </c>
    </row>
    <row r="33" spans="1:3" x14ac:dyDescent="0.35">
      <c r="A33">
        <v>23</v>
      </c>
      <c r="B33" t="s">
        <v>109</v>
      </c>
      <c r="C33" t="s">
        <v>7</v>
      </c>
    </row>
    <row r="34" spans="1:3" x14ac:dyDescent="0.35">
      <c r="A34">
        <v>23</v>
      </c>
      <c r="B34" t="s">
        <v>21</v>
      </c>
      <c r="C34" t="s">
        <v>7</v>
      </c>
    </row>
    <row r="35" spans="1:3" x14ac:dyDescent="0.35">
      <c r="A35">
        <v>23</v>
      </c>
      <c r="B35" t="s">
        <v>40</v>
      </c>
      <c r="C35" t="s">
        <v>5</v>
      </c>
    </row>
    <row r="36" spans="1:3" x14ac:dyDescent="0.35">
      <c r="A36">
        <v>23</v>
      </c>
      <c r="B36" t="s">
        <v>11</v>
      </c>
      <c r="C36" t="s">
        <v>5</v>
      </c>
    </row>
    <row r="37" spans="1:3" x14ac:dyDescent="0.35">
      <c r="A37">
        <v>23</v>
      </c>
      <c r="B37" t="s">
        <v>29</v>
      </c>
      <c r="C37" t="s">
        <v>3</v>
      </c>
    </row>
    <row r="38" spans="1:3" x14ac:dyDescent="0.35">
      <c r="A38">
        <v>23</v>
      </c>
      <c r="B38" t="s">
        <v>32</v>
      </c>
      <c r="C38" t="s">
        <v>8</v>
      </c>
    </row>
    <row r="39" spans="1:3" x14ac:dyDescent="0.35">
      <c r="A39">
        <v>23</v>
      </c>
      <c r="B39" t="s">
        <v>27</v>
      </c>
      <c r="C39" t="s">
        <v>8</v>
      </c>
    </row>
    <row r="40" spans="1:3" x14ac:dyDescent="0.35">
      <c r="A40">
        <v>23</v>
      </c>
      <c r="B40" t="s">
        <v>43</v>
      </c>
      <c r="C40" t="s">
        <v>8</v>
      </c>
    </row>
    <row r="41" spans="1:3" x14ac:dyDescent="0.35">
      <c r="A41">
        <v>23</v>
      </c>
      <c r="B41" t="s">
        <v>15</v>
      </c>
      <c r="C41" t="s">
        <v>6</v>
      </c>
    </row>
    <row r="42" spans="1:3" x14ac:dyDescent="0.35">
      <c r="A42">
        <v>23</v>
      </c>
      <c r="B42" t="s">
        <v>19</v>
      </c>
      <c r="C42" t="s">
        <v>6</v>
      </c>
    </row>
    <row r="43" spans="1:3" x14ac:dyDescent="0.35">
      <c r="A43">
        <v>23</v>
      </c>
      <c r="B43" t="s">
        <v>16</v>
      </c>
      <c r="C43" t="s">
        <v>4</v>
      </c>
    </row>
    <row r="44" spans="1:3" x14ac:dyDescent="0.35">
      <c r="A44">
        <v>22</v>
      </c>
      <c r="B44" t="s">
        <v>9</v>
      </c>
      <c r="C44" t="s">
        <v>1</v>
      </c>
    </row>
    <row r="45" spans="1:3" x14ac:dyDescent="0.35">
      <c r="A45">
        <v>22</v>
      </c>
      <c r="B45" t="s">
        <v>17</v>
      </c>
      <c r="C45" t="s">
        <v>2</v>
      </c>
    </row>
    <row r="46" spans="1:3" x14ac:dyDescent="0.35">
      <c r="A46">
        <v>22</v>
      </c>
      <c r="B46" t="s">
        <v>40</v>
      </c>
      <c r="C46" t="s">
        <v>7</v>
      </c>
    </row>
    <row r="47" spans="1:3" x14ac:dyDescent="0.35">
      <c r="A47">
        <v>22</v>
      </c>
      <c r="B47" t="s">
        <v>13</v>
      </c>
      <c r="C47" t="s">
        <v>7</v>
      </c>
    </row>
    <row r="48" spans="1:3" x14ac:dyDescent="0.35">
      <c r="A48">
        <v>22</v>
      </c>
      <c r="B48" t="s">
        <v>14</v>
      </c>
      <c r="C48" t="s">
        <v>7</v>
      </c>
    </row>
    <row r="49" spans="1:3" x14ac:dyDescent="0.35">
      <c r="A49">
        <v>22</v>
      </c>
      <c r="B49" t="s">
        <v>30</v>
      </c>
      <c r="C49" t="s">
        <v>5</v>
      </c>
    </row>
    <row r="50" spans="1:3" x14ac:dyDescent="0.35">
      <c r="A50">
        <v>22</v>
      </c>
      <c r="B50" t="s">
        <v>21</v>
      </c>
      <c r="C50" t="s">
        <v>5</v>
      </c>
    </row>
    <row r="51" spans="1:3" x14ac:dyDescent="0.35">
      <c r="A51">
        <v>22</v>
      </c>
      <c r="B51" t="s">
        <v>10</v>
      </c>
      <c r="C51" t="s">
        <v>3</v>
      </c>
    </row>
    <row r="52" spans="1:3" x14ac:dyDescent="0.35">
      <c r="A52">
        <v>22</v>
      </c>
      <c r="B52" t="s">
        <v>32</v>
      </c>
      <c r="C52" t="s">
        <v>8</v>
      </c>
    </row>
    <row r="53" spans="1:3" x14ac:dyDescent="0.35">
      <c r="A53">
        <v>22</v>
      </c>
      <c r="B53" t="s">
        <v>16</v>
      </c>
      <c r="C53" t="s">
        <v>8</v>
      </c>
    </row>
    <row r="54" spans="1:3" x14ac:dyDescent="0.35">
      <c r="A54">
        <v>22</v>
      </c>
      <c r="B54" t="s">
        <v>23</v>
      </c>
      <c r="C54" t="s">
        <v>8</v>
      </c>
    </row>
    <row r="55" spans="1:3" x14ac:dyDescent="0.35">
      <c r="A55">
        <v>22</v>
      </c>
      <c r="B55" t="s">
        <v>25</v>
      </c>
      <c r="C55" t="s">
        <v>6</v>
      </c>
    </row>
    <row r="56" spans="1:3" x14ac:dyDescent="0.35">
      <c r="A56">
        <v>22</v>
      </c>
      <c r="B56" t="s">
        <v>19</v>
      </c>
      <c r="C56" t="s">
        <v>6</v>
      </c>
    </row>
    <row r="57" spans="1:3" x14ac:dyDescent="0.35">
      <c r="A57">
        <v>22</v>
      </c>
      <c r="B57" t="s">
        <v>36</v>
      </c>
      <c r="C57" t="s">
        <v>4</v>
      </c>
    </row>
    <row r="58" spans="1:3" x14ac:dyDescent="0.35">
      <c r="A58" s="5">
        <v>99</v>
      </c>
      <c r="B58" t="s">
        <v>109</v>
      </c>
      <c r="C58" t="s">
        <v>1</v>
      </c>
    </row>
    <row r="59" spans="1:3" x14ac:dyDescent="0.35">
      <c r="A59" s="5">
        <v>99</v>
      </c>
      <c r="B59" t="s">
        <v>12</v>
      </c>
      <c r="C59" t="s">
        <v>2</v>
      </c>
    </row>
    <row r="60" spans="1:3" x14ac:dyDescent="0.35">
      <c r="A60" s="5">
        <v>99</v>
      </c>
      <c r="B60" t="s">
        <v>29</v>
      </c>
      <c r="C60" t="s">
        <v>7</v>
      </c>
    </row>
    <row r="61" spans="1:3" x14ac:dyDescent="0.35">
      <c r="A61" s="5">
        <v>99</v>
      </c>
      <c r="B61" t="s">
        <v>21</v>
      </c>
      <c r="C61" t="s">
        <v>7</v>
      </c>
    </row>
    <row r="62" spans="1:3" x14ac:dyDescent="0.35">
      <c r="A62" s="5">
        <v>99</v>
      </c>
      <c r="B62" t="s">
        <v>35</v>
      </c>
      <c r="C62" t="s">
        <v>5</v>
      </c>
    </row>
    <row r="63" spans="1:3" x14ac:dyDescent="0.35">
      <c r="A63" s="5">
        <v>99</v>
      </c>
      <c r="B63" t="s">
        <v>14</v>
      </c>
      <c r="C63" t="s">
        <v>5</v>
      </c>
    </row>
    <row r="64" spans="1:3" x14ac:dyDescent="0.35">
      <c r="A64" s="5">
        <v>99</v>
      </c>
      <c r="B64" t="s">
        <v>40</v>
      </c>
      <c r="C64" t="s">
        <v>3</v>
      </c>
    </row>
    <row r="65" spans="1:3" x14ac:dyDescent="0.35">
      <c r="A65" s="5">
        <v>99</v>
      </c>
      <c r="B65" t="s">
        <v>19</v>
      </c>
      <c r="C65" t="s">
        <v>8</v>
      </c>
    </row>
    <row r="66" spans="1:3" x14ac:dyDescent="0.35">
      <c r="A66" s="5">
        <v>99</v>
      </c>
      <c r="B66" t="s">
        <v>13</v>
      </c>
      <c r="C66" t="s">
        <v>8</v>
      </c>
    </row>
    <row r="67" spans="1:3" x14ac:dyDescent="0.35">
      <c r="A67" s="5">
        <v>99</v>
      </c>
      <c r="B67" t="s">
        <v>32</v>
      </c>
      <c r="C67" t="s">
        <v>6</v>
      </c>
    </row>
    <row r="68" spans="1:3" x14ac:dyDescent="0.35">
      <c r="A68" s="5">
        <v>99</v>
      </c>
      <c r="B68" t="s">
        <v>22</v>
      </c>
      <c r="C68" t="s">
        <v>6</v>
      </c>
    </row>
    <row r="69" spans="1:3" x14ac:dyDescent="0.35">
      <c r="A69" s="5">
        <v>99</v>
      </c>
      <c r="B69" t="s">
        <v>25</v>
      </c>
      <c r="C69" t="s">
        <v>4</v>
      </c>
    </row>
    <row r="70" spans="1:3" x14ac:dyDescent="0.35">
      <c r="A70">
        <v>21</v>
      </c>
      <c r="B70" t="s">
        <v>109</v>
      </c>
      <c r="C70" t="s">
        <v>1</v>
      </c>
    </row>
    <row r="71" spans="1:3" x14ac:dyDescent="0.35">
      <c r="A71">
        <v>21</v>
      </c>
      <c r="B71" t="s">
        <v>36</v>
      </c>
      <c r="C71" t="s">
        <v>2</v>
      </c>
    </row>
    <row r="72" spans="1:3" x14ac:dyDescent="0.35">
      <c r="A72">
        <v>21</v>
      </c>
      <c r="B72" t="s">
        <v>17</v>
      </c>
      <c r="C72" t="s">
        <v>7</v>
      </c>
    </row>
    <row r="73" spans="1:3" x14ac:dyDescent="0.35">
      <c r="A73">
        <v>21</v>
      </c>
      <c r="B73" t="s">
        <v>21</v>
      </c>
      <c r="C73" t="s">
        <v>7</v>
      </c>
    </row>
    <row r="74" spans="1:3" x14ac:dyDescent="0.35">
      <c r="A74">
        <v>21</v>
      </c>
      <c r="B74" t="s">
        <v>34</v>
      </c>
      <c r="C74" t="s">
        <v>7</v>
      </c>
    </row>
    <row r="75" spans="1:3" x14ac:dyDescent="0.35">
      <c r="A75">
        <v>21</v>
      </c>
      <c r="B75" t="s">
        <v>11</v>
      </c>
      <c r="C75" t="s">
        <v>5</v>
      </c>
    </row>
    <row r="76" spans="1:3" x14ac:dyDescent="0.35">
      <c r="A76">
        <v>21</v>
      </c>
      <c r="B76" t="s">
        <v>40</v>
      </c>
      <c r="C76" t="s">
        <v>5</v>
      </c>
    </row>
    <row r="77" spans="1:3" x14ac:dyDescent="0.35">
      <c r="A77">
        <v>21</v>
      </c>
      <c r="B77" t="s">
        <v>10</v>
      </c>
      <c r="C77" t="s">
        <v>3</v>
      </c>
    </row>
    <row r="78" spans="1:3" x14ac:dyDescent="0.35">
      <c r="A78">
        <v>21</v>
      </c>
      <c r="B78" t="s">
        <v>110</v>
      </c>
      <c r="C78" t="s">
        <v>8</v>
      </c>
    </row>
    <row r="79" spans="1:3" x14ac:dyDescent="0.35">
      <c r="A79">
        <v>21</v>
      </c>
      <c r="B79" t="s">
        <v>20</v>
      </c>
      <c r="C79" t="s">
        <v>8</v>
      </c>
    </row>
    <row r="80" spans="1:3" x14ac:dyDescent="0.35">
      <c r="A80">
        <v>21</v>
      </c>
      <c r="B80" t="s">
        <v>27</v>
      </c>
      <c r="C80" t="s">
        <v>8</v>
      </c>
    </row>
    <row r="81" spans="1:3" x14ac:dyDescent="0.35">
      <c r="A81">
        <v>21</v>
      </c>
      <c r="B81" t="s">
        <v>12</v>
      </c>
      <c r="C81" t="s">
        <v>6</v>
      </c>
    </row>
    <row r="82" spans="1:3" x14ac:dyDescent="0.35">
      <c r="A82">
        <v>21</v>
      </c>
      <c r="B82" t="s">
        <v>19</v>
      </c>
      <c r="C82" t="s">
        <v>6</v>
      </c>
    </row>
    <row r="83" spans="1:3" x14ac:dyDescent="0.35">
      <c r="A83">
        <v>21</v>
      </c>
      <c r="B83" t="s">
        <v>9</v>
      </c>
      <c r="C83" t="s">
        <v>4</v>
      </c>
    </row>
    <row r="84" spans="1:3" x14ac:dyDescent="0.35">
      <c r="A84">
        <v>20</v>
      </c>
      <c r="B84" t="s">
        <v>40</v>
      </c>
      <c r="C84" t="s">
        <v>1</v>
      </c>
    </row>
    <row r="85" spans="1:3" x14ac:dyDescent="0.35">
      <c r="A85">
        <v>20</v>
      </c>
      <c r="B85" t="s">
        <v>9</v>
      </c>
      <c r="C85" t="s">
        <v>2</v>
      </c>
    </row>
    <row r="86" spans="1:3" x14ac:dyDescent="0.35">
      <c r="A86">
        <v>20</v>
      </c>
      <c r="B86" t="s">
        <v>13</v>
      </c>
      <c r="C86" t="s">
        <v>7</v>
      </c>
    </row>
    <row r="87" spans="1:3" x14ac:dyDescent="0.35">
      <c r="A87">
        <v>20</v>
      </c>
      <c r="B87" t="s">
        <v>35</v>
      </c>
      <c r="C87" t="s">
        <v>7</v>
      </c>
    </row>
    <row r="88" spans="1:3" x14ac:dyDescent="0.35">
      <c r="A88">
        <v>20</v>
      </c>
      <c r="B88" t="s">
        <v>24</v>
      </c>
      <c r="C88" t="s">
        <v>7</v>
      </c>
    </row>
    <row r="89" spans="1:3" x14ac:dyDescent="0.35">
      <c r="A89">
        <v>20</v>
      </c>
      <c r="B89" t="s">
        <v>44</v>
      </c>
      <c r="C89" t="s">
        <v>5</v>
      </c>
    </row>
    <row r="90" spans="1:3" x14ac:dyDescent="0.35">
      <c r="A90">
        <v>20</v>
      </c>
      <c r="B90" t="s">
        <v>18</v>
      </c>
      <c r="C90" t="s">
        <v>5</v>
      </c>
    </row>
    <row r="91" spans="1:3" x14ac:dyDescent="0.35">
      <c r="A91">
        <v>20</v>
      </c>
      <c r="B91" t="s">
        <v>11</v>
      </c>
      <c r="C91" t="s">
        <v>3</v>
      </c>
    </row>
    <row r="92" spans="1:3" x14ac:dyDescent="0.35">
      <c r="A92">
        <v>20</v>
      </c>
      <c r="B92" t="s">
        <v>27</v>
      </c>
      <c r="C92" t="s">
        <v>8</v>
      </c>
    </row>
    <row r="93" spans="1:3" x14ac:dyDescent="0.35">
      <c r="A93">
        <v>20</v>
      </c>
      <c r="B93" t="s">
        <v>22</v>
      </c>
      <c r="C93" t="s">
        <v>8</v>
      </c>
    </row>
    <row r="94" spans="1:3" x14ac:dyDescent="0.35">
      <c r="A94">
        <v>20</v>
      </c>
      <c r="B94" t="s">
        <v>12</v>
      </c>
      <c r="C94" t="s">
        <v>8</v>
      </c>
    </row>
    <row r="95" spans="1:3" x14ac:dyDescent="0.35">
      <c r="A95">
        <v>20</v>
      </c>
      <c r="B95" t="s">
        <v>43</v>
      </c>
      <c r="C95" t="s">
        <v>6</v>
      </c>
    </row>
    <row r="96" spans="1:3" x14ac:dyDescent="0.35">
      <c r="A96">
        <v>20</v>
      </c>
      <c r="B96" t="s">
        <v>16</v>
      </c>
      <c r="C96" t="s">
        <v>6</v>
      </c>
    </row>
    <row r="97" spans="1:3" x14ac:dyDescent="0.35">
      <c r="A97">
        <v>20</v>
      </c>
      <c r="B97" t="s">
        <v>19</v>
      </c>
      <c r="C97" t="s">
        <v>4</v>
      </c>
    </row>
    <row r="98" spans="1:3" x14ac:dyDescent="0.35">
      <c r="A98">
        <v>19</v>
      </c>
      <c r="B98" t="s">
        <v>9</v>
      </c>
      <c r="C98" t="s">
        <v>1</v>
      </c>
    </row>
    <row r="99" spans="1:3" x14ac:dyDescent="0.35">
      <c r="A99">
        <v>19</v>
      </c>
      <c r="B99" t="s">
        <v>10</v>
      </c>
      <c r="C99" t="s">
        <v>2</v>
      </c>
    </row>
    <row r="100" spans="1:3" x14ac:dyDescent="0.35">
      <c r="A100">
        <v>19</v>
      </c>
      <c r="B100" t="s">
        <v>18</v>
      </c>
      <c r="C100" t="s">
        <v>7</v>
      </c>
    </row>
    <row r="101" spans="1:3" x14ac:dyDescent="0.35">
      <c r="A101">
        <v>19</v>
      </c>
      <c r="B101" t="s">
        <v>17</v>
      </c>
      <c r="C101" t="s">
        <v>7</v>
      </c>
    </row>
    <row r="102" spans="1:3" x14ac:dyDescent="0.35">
      <c r="A102">
        <v>19</v>
      </c>
      <c r="B102" t="s">
        <v>14</v>
      </c>
      <c r="C102" t="s">
        <v>5</v>
      </c>
    </row>
    <row r="103" spans="1:3" x14ac:dyDescent="0.35">
      <c r="A103">
        <v>19</v>
      </c>
      <c r="B103" t="s">
        <v>13</v>
      </c>
      <c r="C103" t="s">
        <v>5</v>
      </c>
    </row>
    <row r="104" spans="1:3" x14ac:dyDescent="0.35">
      <c r="A104">
        <v>19</v>
      </c>
      <c r="B104" t="s">
        <v>11</v>
      </c>
      <c r="C104" t="s">
        <v>3</v>
      </c>
    </row>
    <row r="105" spans="1:3" x14ac:dyDescent="0.35">
      <c r="A105">
        <v>19</v>
      </c>
      <c r="B105" t="s">
        <v>20</v>
      </c>
      <c r="C105" t="s">
        <v>8</v>
      </c>
    </row>
    <row r="106" spans="1:3" x14ac:dyDescent="0.35">
      <c r="A106">
        <v>19</v>
      </c>
      <c r="B106" t="s">
        <v>19</v>
      </c>
      <c r="C106" t="s">
        <v>8</v>
      </c>
    </row>
    <row r="107" spans="1:3" x14ac:dyDescent="0.35">
      <c r="A107">
        <v>19</v>
      </c>
      <c r="B107" t="s">
        <v>15</v>
      </c>
      <c r="C107" t="s">
        <v>6</v>
      </c>
    </row>
    <row r="108" spans="1:3" x14ac:dyDescent="0.35">
      <c r="A108">
        <v>19</v>
      </c>
      <c r="B108" t="s">
        <v>16</v>
      </c>
      <c r="C108" t="s">
        <v>6</v>
      </c>
    </row>
    <row r="109" spans="1:3" x14ac:dyDescent="0.35">
      <c r="A109">
        <v>19</v>
      </c>
      <c r="B109" t="s">
        <v>12</v>
      </c>
      <c r="C109" t="s">
        <v>4</v>
      </c>
    </row>
    <row r="110" spans="1:3" x14ac:dyDescent="0.35">
      <c r="A110">
        <v>18</v>
      </c>
      <c r="B110" t="s">
        <v>20</v>
      </c>
      <c r="C110" t="s">
        <v>1</v>
      </c>
    </row>
    <row r="111" spans="1:3" x14ac:dyDescent="0.35">
      <c r="A111">
        <v>18</v>
      </c>
      <c r="B111" t="s">
        <v>44</v>
      </c>
      <c r="C111" t="s">
        <v>2</v>
      </c>
    </row>
    <row r="112" spans="1:3" x14ac:dyDescent="0.35">
      <c r="A112">
        <v>18</v>
      </c>
      <c r="B112" t="s">
        <v>13</v>
      </c>
      <c r="C112" t="s">
        <v>7</v>
      </c>
    </row>
    <row r="113" spans="1:3" x14ac:dyDescent="0.35">
      <c r="A113">
        <v>18</v>
      </c>
      <c r="B113" t="s">
        <v>24</v>
      </c>
      <c r="C113" t="s">
        <v>7</v>
      </c>
    </row>
    <row r="114" spans="1:3" x14ac:dyDescent="0.35">
      <c r="A114">
        <v>18</v>
      </c>
      <c r="B114" t="s">
        <v>17</v>
      </c>
      <c r="C114" t="s">
        <v>5</v>
      </c>
    </row>
    <row r="115" spans="1:3" x14ac:dyDescent="0.35">
      <c r="A115">
        <v>18</v>
      </c>
      <c r="B115" t="s">
        <v>21</v>
      </c>
      <c r="C115" t="s">
        <v>5</v>
      </c>
    </row>
    <row r="116" spans="1:3" x14ac:dyDescent="0.35">
      <c r="A116">
        <v>18</v>
      </c>
      <c r="B116" t="s">
        <v>18</v>
      </c>
      <c r="C116" t="s">
        <v>3</v>
      </c>
    </row>
    <row r="117" spans="1:3" x14ac:dyDescent="0.35">
      <c r="A117">
        <v>18</v>
      </c>
      <c r="B117" t="s">
        <v>16</v>
      </c>
      <c r="C117" t="s">
        <v>8</v>
      </c>
    </row>
    <row r="118" spans="1:3" x14ac:dyDescent="0.35">
      <c r="A118">
        <v>18</v>
      </c>
      <c r="B118" t="s">
        <v>15</v>
      </c>
      <c r="C118" t="s">
        <v>8</v>
      </c>
    </row>
    <row r="119" spans="1:3" x14ac:dyDescent="0.35">
      <c r="A119">
        <v>18</v>
      </c>
      <c r="B119" t="s">
        <v>22</v>
      </c>
      <c r="C119" t="s">
        <v>6</v>
      </c>
    </row>
    <row r="120" spans="1:3" x14ac:dyDescent="0.35">
      <c r="A120">
        <v>18</v>
      </c>
      <c r="B120" t="s">
        <v>23</v>
      </c>
      <c r="C120" t="s">
        <v>6</v>
      </c>
    </row>
    <row r="121" spans="1:3" x14ac:dyDescent="0.35">
      <c r="A121">
        <v>18</v>
      </c>
      <c r="B121" t="s">
        <v>9</v>
      </c>
      <c r="C121" t="s">
        <v>4</v>
      </c>
    </row>
    <row r="122" spans="1:3" x14ac:dyDescent="0.35">
      <c r="A122">
        <v>17</v>
      </c>
      <c r="B122" t="s">
        <v>17</v>
      </c>
      <c r="C122" t="s">
        <v>1</v>
      </c>
    </row>
    <row r="123" spans="1:3" x14ac:dyDescent="0.35">
      <c r="A123">
        <v>17</v>
      </c>
      <c r="B123" t="s">
        <v>20</v>
      </c>
      <c r="C123" t="s">
        <v>2</v>
      </c>
    </row>
    <row r="124" spans="1:3" x14ac:dyDescent="0.35">
      <c r="A124">
        <v>17</v>
      </c>
      <c r="B124" t="s">
        <v>28</v>
      </c>
      <c r="C124" t="s">
        <v>7</v>
      </c>
    </row>
    <row r="125" spans="1:3" x14ac:dyDescent="0.35">
      <c r="A125">
        <v>17</v>
      </c>
      <c r="B125" t="s">
        <v>44</v>
      </c>
      <c r="C125" t="s">
        <v>7</v>
      </c>
    </row>
    <row r="126" spans="1:3" x14ac:dyDescent="0.35">
      <c r="A126">
        <v>17</v>
      </c>
      <c r="B126" t="s">
        <v>26</v>
      </c>
      <c r="C126" t="s">
        <v>5</v>
      </c>
    </row>
    <row r="127" spans="1:3" x14ac:dyDescent="0.35">
      <c r="A127">
        <v>17</v>
      </c>
      <c r="B127" t="s">
        <v>18</v>
      </c>
      <c r="C127" t="s">
        <v>5</v>
      </c>
    </row>
    <row r="128" spans="1:3" x14ac:dyDescent="0.35">
      <c r="A128">
        <v>17</v>
      </c>
      <c r="B128" t="s">
        <v>14</v>
      </c>
      <c r="C128" t="s">
        <v>3</v>
      </c>
    </row>
    <row r="129" spans="1:3" x14ac:dyDescent="0.35">
      <c r="A129">
        <v>17</v>
      </c>
      <c r="B129" t="s">
        <v>9</v>
      </c>
      <c r="C129" t="s">
        <v>8</v>
      </c>
    </row>
    <row r="130" spans="1:3" x14ac:dyDescent="0.35">
      <c r="A130">
        <v>17</v>
      </c>
      <c r="B130" t="s">
        <v>19</v>
      </c>
      <c r="C130" t="s">
        <v>8</v>
      </c>
    </row>
    <row r="131" spans="1:3" x14ac:dyDescent="0.35">
      <c r="A131">
        <v>17</v>
      </c>
      <c r="B131" t="s">
        <v>27</v>
      </c>
      <c r="C131" t="s">
        <v>6</v>
      </c>
    </row>
    <row r="132" spans="1:3" x14ac:dyDescent="0.35">
      <c r="A132">
        <v>17</v>
      </c>
      <c r="B132" t="s">
        <v>12</v>
      </c>
      <c r="C132" t="s">
        <v>6</v>
      </c>
    </row>
    <row r="133" spans="1:3" x14ac:dyDescent="0.35">
      <c r="A133">
        <v>17</v>
      </c>
      <c r="B133" t="s">
        <v>25</v>
      </c>
      <c r="C133" t="s">
        <v>4</v>
      </c>
    </row>
    <row r="134" spans="1:3" x14ac:dyDescent="0.35">
      <c r="A134">
        <v>16</v>
      </c>
      <c r="B134" t="s">
        <v>20</v>
      </c>
      <c r="C134" t="s">
        <v>1</v>
      </c>
    </row>
    <row r="135" spans="1:3" x14ac:dyDescent="0.35">
      <c r="A135">
        <v>16</v>
      </c>
      <c r="B135" t="s">
        <v>26</v>
      </c>
      <c r="C135" t="s">
        <v>2</v>
      </c>
    </row>
    <row r="136" spans="1:3" x14ac:dyDescent="0.35">
      <c r="A136">
        <v>16</v>
      </c>
      <c r="B136" t="s">
        <v>30</v>
      </c>
      <c r="C136" t="s">
        <v>7</v>
      </c>
    </row>
    <row r="137" spans="1:3" x14ac:dyDescent="0.35">
      <c r="A137">
        <v>16</v>
      </c>
      <c r="B137" t="s">
        <v>29</v>
      </c>
      <c r="C137" t="s">
        <v>7</v>
      </c>
    </row>
    <row r="138" spans="1:3" x14ac:dyDescent="0.35">
      <c r="A138">
        <v>16</v>
      </c>
      <c r="B138" t="s">
        <v>21</v>
      </c>
      <c r="C138" t="s">
        <v>5</v>
      </c>
    </row>
    <row r="139" spans="1:3" x14ac:dyDescent="0.35">
      <c r="A139">
        <v>16</v>
      </c>
      <c r="B139" t="s">
        <v>13</v>
      </c>
      <c r="C139" t="s">
        <v>5</v>
      </c>
    </row>
    <row r="140" spans="1:3" x14ac:dyDescent="0.35">
      <c r="A140">
        <v>16</v>
      </c>
      <c r="B140" t="s">
        <v>11</v>
      </c>
      <c r="C140" t="s">
        <v>3</v>
      </c>
    </row>
    <row r="141" spans="1:3" x14ac:dyDescent="0.35">
      <c r="A141">
        <v>16</v>
      </c>
      <c r="B141" t="s">
        <v>32</v>
      </c>
      <c r="C141" t="s">
        <v>8</v>
      </c>
    </row>
    <row r="142" spans="1:3" x14ac:dyDescent="0.35">
      <c r="A142">
        <v>16</v>
      </c>
      <c r="B142" t="s">
        <v>31</v>
      </c>
      <c r="C142" t="s">
        <v>8</v>
      </c>
    </row>
    <row r="143" spans="1:3" x14ac:dyDescent="0.35">
      <c r="A143">
        <v>16</v>
      </c>
      <c r="B143" t="s">
        <v>9</v>
      </c>
      <c r="C143" t="s">
        <v>6</v>
      </c>
    </row>
    <row r="144" spans="1:3" x14ac:dyDescent="0.35">
      <c r="A144">
        <v>16</v>
      </c>
      <c r="B144" t="s">
        <v>15</v>
      </c>
      <c r="C144" t="s">
        <v>6</v>
      </c>
    </row>
    <row r="145" spans="1:3" x14ac:dyDescent="0.35">
      <c r="A145">
        <v>16</v>
      </c>
      <c r="B145" t="s">
        <v>27</v>
      </c>
      <c r="C145" t="s">
        <v>4</v>
      </c>
    </row>
    <row r="146" spans="1:3" x14ac:dyDescent="0.35">
      <c r="A146">
        <v>15</v>
      </c>
      <c r="B146" t="s">
        <v>33</v>
      </c>
      <c r="C146" t="s">
        <v>1</v>
      </c>
    </row>
    <row r="147" spans="1:3" x14ac:dyDescent="0.35">
      <c r="A147">
        <v>15</v>
      </c>
      <c r="B147" t="s">
        <v>28</v>
      </c>
      <c r="C147" t="s">
        <v>2</v>
      </c>
    </row>
    <row r="148" spans="1:3" x14ac:dyDescent="0.35">
      <c r="A148">
        <v>15</v>
      </c>
      <c r="B148" t="s">
        <v>35</v>
      </c>
      <c r="C148" t="s">
        <v>7</v>
      </c>
    </row>
    <row r="149" spans="1:3" x14ac:dyDescent="0.35">
      <c r="A149">
        <v>15</v>
      </c>
      <c r="B149" t="s">
        <v>14</v>
      </c>
      <c r="C149" t="s">
        <v>7</v>
      </c>
    </row>
    <row r="150" spans="1:3" x14ac:dyDescent="0.35">
      <c r="A150">
        <v>15</v>
      </c>
      <c r="B150" t="s">
        <v>11</v>
      </c>
      <c r="C150" t="s">
        <v>5</v>
      </c>
    </row>
    <row r="151" spans="1:3" x14ac:dyDescent="0.35">
      <c r="A151">
        <v>15</v>
      </c>
      <c r="B151" t="s">
        <v>13</v>
      </c>
      <c r="C151" t="s">
        <v>5</v>
      </c>
    </row>
    <row r="152" spans="1:3" x14ac:dyDescent="0.35">
      <c r="A152">
        <v>15</v>
      </c>
      <c r="B152" t="s">
        <v>34</v>
      </c>
      <c r="C152" t="s">
        <v>3</v>
      </c>
    </row>
    <row r="153" spans="1:3" x14ac:dyDescent="0.35">
      <c r="A153">
        <v>15</v>
      </c>
      <c r="B153" t="s">
        <v>36</v>
      </c>
      <c r="C153" t="s">
        <v>8</v>
      </c>
    </row>
    <row r="154" spans="1:3" x14ac:dyDescent="0.35">
      <c r="A154">
        <v>15</v>
      </c>
      <c r="B154" t="s">
        <v>15</v>
      </c>
      <c r="C154" t="s">
        <v>8</v>
      </c>
    </row>
    <row r="155" spans="1:3" x14ac:dyDescent="0.35">
      <c r="A155">
        <v>15</v>
      </c>
      <c r="B155" t="s">
        <v>27</v>
      </c>
      <c r="C155" t="s">
        <v>6</v>
      </c>
    </row>
    <row r="156" spans="1:3" x14ac:dyDescent="0.35">
      <c r="A156">
        <v>15</v>
      </c>
      <c r="B156" t="s">
        <v>9</v>
      </c>
      <c r="C156" t="s">
        <v>6</v>
      </c>
    </row>
    <row r="157" spans="1:3" x14ac:dyDescent="0.35">
      <c r="A157">
        <v>15</v>
      </c>
      <c r="B157" t="s">
        <v>20</v>
      </c>
      <c r="C157" t="s">
        <v>4</v>
      </c>
    </row>
    <row r="158" spans="1:3" x14ac:dyDescent="0.35">
      <c r="A158">
        <v>14</v>
      </c>
      <c r="B158" t="s">
        <v>20</v>
      </c>
      <c r="C158" t="s">
        <v>1</v>
      </c>
    </row>
    <row r="159" spans="1:3" x14ac:dyDescent="0.35">
      <c r="A159">
        <v>14</v>
      </c>
      <c r="B159" t="s">
        <v>13</v>
      </c>
      <c r="C159" t="s">
        <v>2</v>
      </c>
    </row>
    <row r="160" spans="1:3" x14ac:dyDescent="0.35">
      <c r="A160">
        <v>14</v>
      </c>
      <c r="B160" t="s">
        <v>29</v>
      </c>
      <c r="C160" t="s">
        <v>7</v>
      </c>
    </row>
    <row r="161" spans="1:3" x14ac:dyDescent="0.35">
      <c r="A161">
        <v>14</v>
      </c>
      <c r="B161" t="s">
        <v>34</v>
      </c>
      <c r="C161" t="s">
        <v>7</v>
      </c>
    </row>
    <row r="162" spans="1:3" x14ac:dyDescent="0.35">
      <c r="A162">
        <v>14</v>
      </c>
      <c r="B162" t="s">
        <v>21</v>
      </c>
      <c r="C162" t="s">
        <v>5</v>
      </c>
    </row>
    <row r="163" spans="1:3" x14ac:dyDescent="0.35">
      <c r="A163">
        <v>14</v>
      </c>
      <c r="B163" t="s">
        <v>28</v>
      </c>
      <c r="C163" t="s">
        <v>5</v>
      </c>
    </row>
    <row r="164" spans="1:3" x14ac:dyDescent="0.35">
      <c r="A164">
        <v>14</v>
      </c>
      <c r="B164" t="s">
        <v>11</v>
      </c>
      <c r="C164" t="s">
        <v>3</v>
      </c>
    </row>
    <row r="165" spans="1:3" x14ac:dyDescent="0.35">
      <c r="A165">
        <v>14</v>
      </c>
      <c r="B165" t="s">
        <v>27</v>
      </c>
      <c r="C165" t="s">
        <v>8</v>
      </c>
    </row>
    <row r="166" spans="1:3" x14ac:dyDescent="0.35">
      <c r="A166">
        <v>14</v>
      </c>
      <c r="B166" t="s">
        <v>36</v>
      </c>
      <c r="C166" t="s">
        <v>8</v>
      </c>
    </row>
    <row r="167" spans="1:3" x14ac:dyDescent="0.35">
      <c r="A167">
        <v>14</v>
      </c>
      <c r="B167" t="s">
        <v>33</v>
      </c>
      <c r="C167" t="s">
        <v>6</v>
      </c>
    </row>
    <row r="168" spans="1:3" x14ac:dyDescent="0.35">
      <c r="A168">
        <v>14</v>
      </c>
      <c r="B168" t="s">
        <v>16</v>
      </c>
      <c r="C168" t="s">
        <v>6</v>
      </c>
    </row>
    <row r="169" spans="1:3" x14ac:dyDescent="0.35">
      <c r="A169">
        <v>14</v>
      </c>
      <c r="B169" t="s">
        <v>22</v>
      </c>
      <c r="C169" t="s">
        <v>4</v>
      </c>
    </row>
    <row r="170" spans="1:3" x14ac:dyDescent="0.35">
      <c r="A170">
        <v>13</v>
      </c>
      <c r="B170" t="s">
        <v>13</v>
      </c>
      <c r="C170" t="s">
        <v>1</v>
      </c>
    </row>
    <row r="171" spans="1:3" x14ac:dyDescent="0.35">
      <c r="A171">
        <v>13</v>
      </c>
      <c r="B171" t="s">
        <v>33</v>
      </c>
      <c r="C171" t="s">
        <v>2</v>
      </c>
    </row>
    <row r="172" spans="1:3" x14ac:dyDescent="0.35">
      <c r="A172">
        <v>13</v>
      </c>
      <c r="B172" t="s">
        <v>17</v>
      </c>
      <c r="C172" t="s">
        <v>7</v>
      </c>
    </row>
    <row r="173" spans="1:3" x14ac:dyDescent="0.35">
      <c r="A173">
        <v>13</v>
      </c>
      <c r="B173" t="s">
        <v>11</v>
      </c>
      <c r="C173" t="s">
        <v>7</v>
      </c>
    </row>
    <row r="174" spans="1:3" x14ac:dyDescent="0.35">
      <c r="A174">
        <v>13</v>
      </c>
      <c r="B174" t="s">
        <v>18</v>
      </c>
      <c r="C174" t="s">
        <v>5</v>
      </c>
    </row>
    <row r="175" spans="1:3" x14ac:dyDescent="0.35">
      <c r="A175">
        <v>13</v>
      </c>
      <c r="B175" t="s">
        <v>28</v>
      </c>
      <c r="C175" t="s">
        <v>5</v>
      </c>
    </row>
    <row r="176" spans="1:3" x14ac:dyDescent="0.35">
      <c r="A176">
        <v>13</v>
      </c>
      <c r="B176" t="s">
        <v>10</v>
      </c>
      <c r="C176" t="s">
        <v>3</v>
      </c>
    </row>
    <row r="177" spans="1:3" x14ac:dyDescent="0.35">
      <c r="A177">
        <v>13</v>
      </c>
      <c r="B177" t="s">
        <v>9</v>
      </c>
      <c r="C177" t="s">
        <v>8</v>
      </c>
    </row>
    <row r="178" spans="1:3" x14ac:dyDescent="0.35">
      <c r="A178">
        <v>13</v>
      </c>
      <c r="B178" t="s">
        <v>36</v>
      </c>
      <c r="C178" t="s">
        <v>8</v>
      </c>
    </row>
    <row r="179" spans="1:3" ht="15" customHeight="1" x14ac:dyDescent="0.35">
      <c r="A179">
        <v>13</v>
      </c>
      <c r="B179" t="s">
        <v>23</v>
      </c>
      <c r="C179" t="s">
        <v>6</v>
      </c>
    </row>
    <row r="180" spans="1:3" x14ac:dyDescent="0.35">
      <c r="A180">
        <v>13</v>
      </c>
      <c r="B180" t="s">
        <v>22</v>
      </c>
      <c r="C180" t="s">
        <v>6</v>
      </c>
    </row>
    <row r="181" spans="1:3" x14ac:dyDescent="0.35">
      <c r="A181">
        <v>13</v>
      </c>
      <c r="B181" t="s">
        <v>20</v>
      </c>
      <c r="C181" t="s">
        <v>4</v>
      </c>
    </row>
    <row r="182" spans="1:3" x14ac:dyDescent="0.35">
      <c r="A182">
        <v>12</v>
      </c>
      <c r="B182" t="s">
        <v>16</v>
      </c>
      <c r="C182" t="s">
        <v>1</v>
      </c>
    </row>
    <row r="183" spans="1:3" x14ac:dyDescent="0.35">
      <c r="A183">
        <v>12</v>
      </c>
      <c r="B183" t="s">
        <v>10</v>
      </c>
      <c r="C183" t="s">
        <v>2</v>
      </c>
    </row>
    <row r="184" spans="1:3" x14ac:dyDescent="0.35">
      <c r="A184">
        <v>12</v>
      </c>
      <c r="B184" t="s">
        <v>35</v>
      </c>
      <c r="C184" t="s">
        <v>7</v>
      </c>
    </row>
    <row r="185" spans="1:3" x14ac:dyDescent="0.35">
      <c r="A185">
        <v>12</v>
      </c>
      <c r="B185" t="s">
        <v>14</v>
      </c>
      <c r="C185" t="s">
        <v>7</v>
      </c>
    </row>
    <row r="186" spans="1:3" x14ac:dyDescent="0.35">
      <c r="A186">
        <v>12</v>
      </c>
      <c r="B186" t="s">
        <v>11</v>
      </c>
      <c r="C186" t="s">
        <v>5</v>
      </c>
    </row>
    <row r="187" spans="1:3" x14ac:dyDescent="0.35">
      <c r="A187">
        <v>12</v>
      </c>
      <c r="B187" t="s">
        <v>13</v>
      </c>
      <c r="C187" t="s">
        <v>5</v>
      </c>
    </row>
    <row r="188" spans="1:3" x14ac:dyDescent="0.35">
      <c r="A188">
        <v>12</v>
      </c>
      <c r="B188" t="s">
        <v>26</v>
      </c>
      <c r="C188" t="s">
        <v>3</v>
      </c>
    </row>
    <row r="189" spans="1:3" x14ac:dyDescent="0.35">
      <c r="A189">
        <v>12</v>
      </c>
      <c r="B189" t="s">
        <v>22</v>
      </c>
      <c r="C189" t="s">
        <v>8</v>
      </c>
    </row>
    <row r="190" spans="1:3" x14ac:dyDescent="0.35">
      <c r="A190">
        <v>12</v>
      </c>
      <c r="B190" t="s">
        <v>36</v>
      </c>
      <c r="C190" t="s">
        <v>8</v>
      </c>
    </row>
    <row r="191" spans="1:3" x14ac:dyDescent="0.35">
      <c r="A191">
        <v>12</v>
      </c>
      <c r="B191" t="s">
        <v>33</v>
      </c>
      <c r="C191" t="s">
        <v>6</v>
      </c>
    </row>
    <row r="192" spans="1:3" x14ac:dyDescent="0.35">
      <c r="A192">
        <v>12</v>
      </c>
      <c r="B192" t="s">
        <v>15</v>
      </c>
      <c r="C192" t="s">
        <v>6</v>
      </c>
    </row>
    <row r="193" spans="1:3" x14ac:dyDescent="0.35">
      <c r="A193">
        <v>12</v>
      </c>
      <c r="B193" t="s">
        <v>20</v>
      </c>
      <c r="C193" t="s">
        <v>4</v>
      </c>
    </row>
    <row r="194" spans="1:3" x14ac:dyDescent="0.35">
      <c r="A194">
        <v>11</v>
      </c>
      <c r="B194" t="s">
        <v>30</v>
      </c>
      <c r="C194" t="s">
        <v>1</v>
      </c>
    </row>
    <row r="195" spans="1:3" x14ac:dyDescent="0.35">
      <c r="A195">
        <v>11</v>
      </c>
      <c r="B195" t="s">
        <v>20</v>
      </c>
      <c r="C195" t="s">
        <v>2</v>
      </c>
    </row>
    <row r="196" spans="1:3" x14ac:dyDescent="0.35">
      <c r="A196">
        <v>11</v>
      </c>
      <c r="B196" t="s">
        <v>26</v>
      </c>
      <c r="C196" t="s">
        <v>7</v>
      </c>
    </row>
    <row r="197" spans="1:3" x14ac:dyDescent="0.35">
      <c r="A197">
        <v>11</v>
      </c>
      <c r="B197" t="s">
        <v>29</v>
      </c>
      <c r="C197" t="s">
        <v>7</v>
      </c>
    </row>
    <row r="198" spans="1:3" x14ac:dyDescent="0.35">
      <c r="A198">
        <v>11</v>
      </c>
      <c r="B198" t="s">
        <v>18</v>
      </c>
      <c r="C198" t="s">
        <v>5</v>
      </c>
    </row>
    <row r="199" spans="1:3" x14ac:dyDescent="0.35">
      <c r="A199">
        <v>11</v>
      </c>
      <c r="B199" t="s">
        <v>11</v>
      </c>
      <c r="C199" t="s">
        <v>5</v>
      </c>
    </row>
    <row r="200" spans="1:3" x14ac:dyDescent="0.35">
      <c r="A200">
        <v>11</v>
      </c>
      <c r="B200" t="s">
        <v>10</v>
      </c>
      <c r="C200" t="s">
        <v>3</v>
      </c>
    </row>
    <row r="201" spans="1:3" x14ac:dyDescent="0.35">
      <c r="A201">
        <v>11</v>
      </c>
      <c r="B201" t="s">
        <v>27</v>
      </c>
      <c r="C201" t="s">
        <v>8</v>
      </c>
    </row>
    <row r="202" spans="1:3" x14ac:dyDescent="0.35">
      <c r="A202">
        <v>11</v>
      </c>
      <c r="B202" t="s">
        <v>36</v>
      </c>
      <c r="C202" t="s">
        <v>8</v>
      </c>
    </row>
    <row r="203" spans="1:3" x14ac:dyDescent="0.35">
      <c r="A203">
        <v>11</v>
      </c>
      <c r="B203" t="s">
        <v>15</v>
      </c>
      <c r="C203" t="s">
        <v>6</v>
      </c>
    </row>
    <row r="204" spans="1:3" x14ac:dyDescent="0.35">
      <c r="A204">
        <v>11</v>
      </c>
      <c r="B204" t="s">
        <v>33</v>
      </c>
      <c r="C204" t="s">
        <v>6</v>
      </c>
    </row>
    <row r="205" spans="1:3" x14ac:dyDescent="0.35">
      <c r="A205">
        <v>11</v>
      </c>
      <c r="B205" t="s">
        <v>16</v>
      </c>
      <c r="C205" t="s">
        <v>4</v>
      </c>
    </row>
    <row r="206" spans="1:3" x14ac:dyDescent="0.35">
      <c r="A206">
        <v>10</v>
      </c>
      <c r="B206" t="s">
        <v>11</v>
      </c>
      <c r="C206" t="s">
        <v>1</v>
      </c>
    </row>
    <row r="207" spans="1:3" x14ac:dyDescent="0.35">
      <c r="A207">
        <v>10</v>
      </c>
      <c r="B207" t="s">
        <v>27</v>
      </c>
      <c r="C207" t="s">
        <v>2</v>
      </c>
    </row>
    <row r="208" spans="1:3" x14ac:dyDescent="0.35">
      <c r="A208">
        <v>10</v>
      </c>
      <c r="B208" t="s">
        <v>18</v>
      </c>
      <c r="C208" t="s">
        <v>7</v>
      </c>
    </row>
    <row r="209" spans="1:3" x14ac:dyDescent="0.35">
      <c r="A209">
        <v>10</v>
      </c>
      <c r="B209" t="s">
        <v>17</v>
      </c>
      <c r="C209" t="s">
        <v>7</v>
      </c>
    </row>
    <row r="210" spans="1:3" x14ac:dyDescent="0.35">
      <c r="A210">
        <v>10</v>
      </c>
      <c r="B210" t="s">
        <v>26</v>
      </c>
      <c r="C210" t="s">
        <v>5</v>
      </c>
    </row>
    <row r="211" spans="1:3" x14ac:dyDescent="0.35">
      <c r="A211">
        <v>10</v>
      </c>
      <c r="B211" t="s">
        <v>13</v>
      </c>
      <c r="C211" t="s">
        <v>5</v>
      </c>
    </row>
    <row r="212" spans="1:3" x14ac:dyDescent="0.35">
      <c r="A212">
        <v>10</v>
      </c>
      <c r="B212" t="s">
        <v>24</v>
      </c>
      <c r="C212" t="s">
        <v>3</v>
      </c>
    </row>
    <row r="213" spans="1:3" x14ac:dyDescent="0.35">
      <c r="A213">
        <v>10</v>
      </c>
      <c r="B213" t="s">
        <v>22</v>
      </c>
      <c r="C213" t="s">
        <v>8</v>
      </c>
    </row>
    <row r="214" spans="1:3" x14ac:dyDescent="0.35">
      <c r="A214">
        <v>10</v>
      </c>
      <c r="B214" t="s">
        <v>9</v>
      </c>
      <c r="C214" t="s">
        <v>8</v>
      </c>
    </row>
    <row r="215" spans="1:3" x14ac:dyDescent="0.35">
      <c r="A215">
        <v>10</v>
      </c>
      <c r="B215" t="s">
        <v>16</v>
      </c>
      <c r="C215" t="s">
        <v>6</v>
      </c>
    </row>
    <row r="216" spans="1:3" x14ac:dyDescent="0.35">
      <c r="A216">
        <v>10</v>
      </c>
      <c r="B216" t="s">
        <v>20</v>
      </c>
      <c r="C216" t="s">
        <v>6</v>
      </c>
    </row>
    <row r="217" spans="1:3" x14ac:dyDescent="0.35">
      <c r="A217">
        <v>10</v>
      </c>
      <c r="B217" t="s">
        <v>37</v>
      </c>
      <c r="C217" t="s">
        <v>4</v>
      </c>
    </row>
    <row r="218" spans="1:3" x14ac:dyDescent="0.35">
      <c r="A218">
        <v>9</v>
      </c>
      <c r="B218" t="s">
        <v>18</v>
      </c>
      <c r="C218" t="s">
        <v>1</v>
      </c>
    </row>
    <row r="219" spans="1:3" x14ac:dyDescent="0.35">
      <c r="A219">
        <v>9</v>
      </c>
      <c r="B219" t="s">
        <v>22</v>
      </c>
      <c r="C219" t="s">
        <v>2</v>
      </c>
    </row>
    <row r="220" spans="1:3" x14ac:dyDescent="0.35">
      <c r="A220">
        <v>9</v>
      </c>
      <c r="B220" t="s">
        <v>17</v>
      </c>
      <c r="C220" t="s">
        <v>7</v>
      </c>
    </row>
    <row r="221" spans="1:3" x14ac:dyDescent="0.35">
      <c r="A221">
        <v>9</v>
      </c>
      <c r="B221" t="s">
        <v>11</v>
      </c>
      <c r="C221" t="s">
        <v>7</v>
      </c>
    </row>
    <row r="222" spans="1:3" x14ac:dyDescent="0.35">
      <c r="A222">
        <v>9</v>
      </c>
      <c r="B222" t="s">
        <v>21</v>
      </c>
      <c r="C222" t="s">
        <v>5</v>
      </c>
    </row>
    <row r="223" spans="1:3" x14ac:dyDescent="0.35">
      <c r="A223">
        <v>9</v>
      </c>
      <c r="B223" t="s">
        <v>34</v>
      </c>
      <c r="C223" t="s">
        <v>5</v>
      </c>
    </row>
    <row r="224" spans="1:3" x14ac:dyDescent="0.35">
      <c r="A224">
        <v>9</v>
      </c>
      <c r="B224" t="s">
        <v>14</v>
      </c>
      <c r="C224" t="s">
        <v>3</v>
      </c>
    </row>
    <row r="225" spans="1:3" x14ac:dyDescent="0.35">
      <c r="A225">
        <v>9</v>
      </c>
      <c r="B225" t="s">
        <v>36</v>
      </c>
      <c r="C225" t="s">
        <v>8</v>
      </c>
    </row>
    <row r="226" spans="1:3" x14ac:dyDescent="0.35">
      <c r="A226">
        <v>9</v>
      </c>
      <c r="B226" t="s">
        <v>20</v>
      </c>
      <c r="C226" t="s">
        <v>8</v>
      </c>
    </row>
    <row r="227" spans="1:3" x14ac:dyDescent="0.35">
      <c r="A227">
        <v>9</v>
      </c>
      <c r="B227" t="s">
        <v>16</v>
      </c>
      <c r="C227" t="s">
        <v>6</v>
      </c>
    </row>
    <row r="228" spans="1:3" x14ac:dyDescent="0.35">
      <c r="A228">
        <v>9</v>
      </c>
      <c r="B228" t="s">
        <v>23</v>
      </c>
      <c r="C228" t="s">
        <v>6</v>
      </c>
    </row>
    <row r="229" spans="1:3" x14ac:dyDescent="0.35">
      <c r="A229">
        <v>9</v>
      </c>
      <c r="B229" t="s">
        <v>53</v>
      </c>
      <c r="C229" t="s">
        <v>4</v>
      </c>
    </row>
    <row r="230" spans="1:3" x14ac:dyDescent="0.35">
      <c r="A230" s="5">
        <v>8</v>
      </c>
      <c r="B230" t="s">
        <v>27</v>
      </c>
      <c r="C230" t="s">
        <v>1</v>
      </c>
    </row>
    <row r="231" spans="1:3" x14ac:dyDescent="0.35">
      <c r="A231" s="5">
        <v>8</v>
      </c>
      <c r="B231" t="s">
        <v>34</v>
      </c>
      <c r="C231" t="s">
        <v>2</v>
      </c>
    </row>
    <row r="232" spans="1:3" x14ac:dyDescent="0.35">
      <c r="A232" s="5">
        <v>8</v>
      </c>
      <c r="B232" t="s">
        <v>14</v>
      </c>
      <c r="C232" t="s">
        <v>7</v>
      </c>
    </row>
    <row r="233" spans="1:3" x14ac:dyDescent="0.35">
      <c r="A233" s="5">
        <v>8</v>
      </c>
      <c r="B233" t="s">
        <v>26</v>
      </c>
      <c r="C233" t="s">
        <v>7</v>
      </c>
    </row>
    <row r="234" spans="1:3" x14ac:dyDescent="0.35">
      <c r="A234" s="5">
        <v>8</v>
      </c>
      <c r="B234" t="s">
        <v>28</v>
      </c>
      <c r="C234" t="s">
        <v>5</v>
      </c>
    </row>
    <row r="235" spans="1:3" x14ac:dyDescent="0.35">
      <c r="A235" s="5">
        <v>8</v>
      </c>
      <c r="B235" t="s">
        <v>30</v>
      </c>
      <c r="C235" t="s">
        <v>5</v>
      </c>
    </row>
    <row r="236" spans="1:3" x14ac:dyDescent="0.35">
      <c r="A236" s="5">
        <v>8</v>
      </c>
      <c r="B236" t="s">
        <v>17</v>
      </c>
      <c r="C236" t="s">
        <v>3</v>
      </c>
    </row>
    <row r="237" spans="1:3" x14ac:dyDescent="0.35">
      <c r="A237" s="5">
        <v>8</v>
      </c>
      <c r="B237" t="s">
        <v>22</v>
      </c>
      <c r="C237" t="s">
        <v>8</v>
      </c>
    </row>
    <row r="238" spans="1:3" x14ac:dyDescent="0.35">
      <c r="A238" s="5">
        <v>8</v>
      </c>
      <c r="B238" t="s">
        <v>32</v>
      </c>
      <c r="C238" t="s">
        <v>8</v>
      </c>
    </row>
    <row r="239" spans="1:3" x14ac:dyDescent="0.35">
      <c r="A239" s="5">
        <v>8</v>
      </c>
      <c r="B239" t="s">
        <v>12</v>
      </c>
      <c r="C239" t="s">
        <v>6</v>
      </c>
    </row>
    <row r="240" spans="1:3" x14ac:dyDescent="0.35">
      <c r="A240" s="5">
        <v>8</v>
      </c>
      <c r="B240" t="s">
        <v>23</v>
      </c>
      <c r="C240" t="s">
        <v>6</v>
      </c>
    </row>
    <row r="241" spans="1:3" x14ac:dyDescent="0.35">
      <c r="A241" s="5">
        <v>8</v>
      </c>
      <c r="B241" t="s">
        <v>16</v>
      </c>
      <c r="C241" t="s">
        <v>4</v>
      </c>
    </row>
    <row r="242" spans="1:3" x14ac:dyDescent="0.35">
      <c r="A242" s="5">
        <v>7</v>
      </c>
      <c r="B242" t="s">
        <v>30</v>
      </c>
      <c r="C242" t="s">
        <v>1</v>
      </c>
    </row>
    <row r="243" spans="1:3" x14ac:dyDescent="0.35">
      <c r="A243" s="5">
        <v>7</v>
      </c>
      <c r="B243" t="s">
        <v>20</v>
      </c>
      <c r="C243" t="s">
        <v>2</v>
      </c>
    </row>
    <row r="244" spans="1:3" x14ac:dyDescent="0.35">
      <c r="A244" s="5">
        <v>7</v>
      </c>
      <c r="B244" t="s">
        <v>40</v>
      </c>
      <c r="C244" t="s">
        <v>7</v>
      </c>
    </row>
    <row r="245" spans="1:3" x14ac:dyDescent="0.35">
      <c r="A245" s="5">
        <v>7</v>
      </c>
      <c r="B245" t="s">
        <v>35</v>
      </c>
      <c r="C245" t="s">
        <v>7</v>
      </c>
    </row>
    <row r="246" spans="1:3" x14ac:dyDescent="0.35">
      <c r="A246" s="5">
        <v>7</v>
      </c>
      <c r="B246" t="s">
        <v>13</v>
      </c>
      <c r="C246" t="s">
        <v>5</v>
      </c>
    </row>
    <row r="247" spans="1:3" x14ac:dyDescent="0.35">
      <c r="A247" s="5">
        <v>7</v>
      </c>
      <c r="B247" t="s">
        <v>21</v>
      </c>
      <c r="C247" t="s">
        <v>5</v>
      </c>
    </row>
    <row r="248" spans="1:3" x14ac:dyDescent="0.35">
      <c r="A248" s="5">
        <v>7</v>
      </c>
      <c r="B248" t="s">
        <v>11</v>
      </c>
      <c r="C248" t="s">
        <v>3</v>
      </c>
    </row>
    <row r="249" spans="1:3" x14ac:dyDescent="0.35">
      <c r="A249" s="5">
        <v>7</v>
      </c>
      <c r="B249" t="s">
        <v>27</v>
      </c>
      <c r="C249" t="s">
        <v>8</v>
      </c>
    </row>
    <row r="250" spans="1:3" x14ac:dyDescent="0.35">
      <c r="A250" s="5">
        <v>7</v>
      </c>
      <c r="B250" t="s">
        <v>12</v>
      </c>
      <c r="C250" t="s">
        <v>8</v>
      </c>
    </row>
    <row r="251" spans="1:3" x14ac:dyDescent="0.35">
      <c r="A251" s="5">
        <v>7</v>
      </c>
      <c r="B251" t="s">
        <v>108</v>
      </c>
      <c r="C251" t="s">
        <v>6</v>
      </c>
    </row>
    <row r="252" spans="1:3" x14ac:dyDescent="0.35">
      <c r="A252" s="5">
        <v>7</v>
      </c>
      <c r="B252" t="s">
        <v>22</v>
      </c>
      <c r="C252" t="s">
        <v>6</v>
      </c>
    </row>
    <row r="253" spans="1:3" x14ac:dyDescent="0.35">
      <c r="A253" s="5">
        <v>7</v>
      </c>
      <c r="B253" t="s">
        <v>23</v>
      </c>
      <c r="C253" t="s">
        <v>4</v>
      </c>
    </row>
    <row r="254" spans="1:3" x14ac:dyDescent="0.35">
      <c r="A254" s="5">
        <v>6</v>
      </c>
      <c r="B254" t="s">
        <v>22</v>
      </c>
      <c r="C254" t="s">
        <v>1</v>
      </c>
    </row>
    <row r="255" spans="1:3" x14ac:dyDescent="0.35">
      <c r="A255" s="5">
        <v>6</v>
      </c>
      <c r="B255" t="s">
        <v>24</v>
      </c>
      <c r="C255" t="s">
        <v>2</v>
      </c>
    </row>
    <row r="256" spans="1:3" x14ac:dyDescent="0.35">
      <c r="A256" s="5">
        <v>6</v>
      </c>
      <c r="B256" t="s">
        <v>21</v>
      </c>
      <c r="C256" t="s">
        <v>7</v>
      </c>
    </row>
    <row r="257" spans="1:3" x14ac:dyDescent="0.35">
      <c r="A257" s="5">
        <v>6</v>
      </c>
      <c r="B257" t="s">
        <v>30</v>
      </c>
      <c r="C257" t="s">
        <v>7</v>
      </c>
    </row>
    <row r="258" spans="1:3" x14ac:dyDescent="0.35">
      <c r="A258" s="5">
        <v>6</v>
      </c>
      <c r="B258" t="s">
        <v>17</v>
      </c>
      <c r="C258" t="s">
        <v>5</v>
      </c>
    </row>
    <row r="259" spans="1:3" x14ac:dyDescent="0.35">
      <c r="A259" s="5">
        <v>6</v>
      </c>
      <c r="B259" t="s">
        <v>13</v>
      </c>
      <c r="C259" t="s">
        <v>5</v>
      </c>
    </row>
    <row r="260" spans="1:3" x14ac:dyDescent="0.35">
      <c r="A260" s="5">
        <v>6</v>
      </c>
      <c r="B260" t="s">
        <v>18</v>
      </c>
      <c r="C260" t="s">
        <v>3</v>
      </c>
    </row>
    <row r="261" spans="1:3" x14ac:dyDescent="0.35">
      <c r="A261" s="5">
        <v>6</v>
      </c>
      <c r="B261" t="s">
        <v>9</v>
      </c>
      <c r="C261" t="s">
        <v>8</v>
      </c>
    </row>
    <row r="262" spans="1:3" x14ac:dyDescent="0.35">
      <c r="A262" s="5">
        <v>6</v>
      </c>
      <c r="B262" t="s">
        <v>53</v>
      </c>
      <c r="C262" t="s">
        <v>8</v>
      </c>
    </row>
    <row r="263" spans="1:3" x14ac:dyDescent="0.35">
      <c r="A263" s="5">
        <v>6</v>
      </c>
      <c r="B263" t="s">
        <v>16</v>
      </c>
      <c r="C263" t="s">
        <v>6</v>
      </c>
    </row>
    <row r="264" spans="1:3" x14ac:dyDescent="0.35">
      <c r="A264" s="5">
        <v>6</v>
      </c>
      <c r="B264" t="s">
        <v>23</v>
      </c>
      <c r="C264" t="s">
        <v>6</v>
      </c>
    </row>
    <row r="265" spans="1:3" x14ac:dyDescent="0.35">
      <c r="A265" s="5">
        <v>6</v>
      </c>
      <c r="B265" t="s">
        <v>20</v>
      </c>
      <c r="C265" t="s">
        <v>4</v>
      </c>
    </row>
    <row r="266" spans="1:3" x14ac:dyDescent="0.35">
      <c r="A266" s="5">
        <v>5</v>
      </c>
      <c r="B266" t="s">
        <v>27</v>
      </c>
      <c r="C266" t="s">
        <v>1</v>
      </c>
    </row>
    <row r="267" spans="1:3" x14ac:dyDescent="0.35">
      <c r="A267" s="5">
        <v>5</v>
      </c>
      <c r="B267" t="s">
        <v>13</v>
      </c>
      <c r="C267" t="s">
        <v>2</v>
      </c>
    </row>
    <row r="268" spans="1:3" x14ac:dyDescent="0.35">
      <c r="A268" s="5">
        <v>5</v>
      </c>
      <c r="B268" t="s">
        <v>30</v>
      </c>
      <c r="C268" t="s">
        <v>7</v>
      </c>
    </row>
    <row r="269" spans="1:3" x14ac:dyDescent="0.35">
      <c r="A269" s="5">
        <v>5</v>
      </c>
      <c r="B269" t="s">
        <v>40</v>
      </c>
      <c r="C269" t="s">
        <v>7</v>
      </c>
    </row>
    <row r="270" spans="1:3" x14ac:dyDescent="0.35">
      <c r="A270" s="5">
        <v>5</v>
      </c>
      <c r="B270" t="s">
        <v>35</v>
      </c>
      <c r="C270" t="s">
        <v>5</v>
      </c>
    </row>
    <row r="271" spans="1:3" x14ac:dyDescent="0.35">
      <c r="A271" s="5">
        <v>5</v>
      </c>
      <c r="B271" t="s">
        <v>24</v>
      </c>
      <c r="C271" t="s">
        <v>5</v>
      </c>
    </row>
    <row r="272" spans="1:3" x14ac:dyDescent="0.35">
      <c r="A272" s="5">
        <v>5</v>
      </c>
      <c r="B272" t="s">
        <v>28</v>
      </c>
      <c r="C272" t="s">
        <v>3</v>
      </c>
    </row>
    <row r="273" spans="1:3" x14ac:dyDescent="0.35">
      <c r="A273" s="5">
        <v>5</v>
      </c>
      <c r="B273" t="s">
        <v>36</v>
      </c>
      <c r="C273" t="s">
        <v>8</v>
      </c>
    </row>
    <row r="274" spans="1:3" x14ac:dyDescent="0.35">
      <c r="A274" s="5">
        <v>5</v>
      </c>
      <c r="B274" t="s">
        <v>25</v>
      </c>
      <c r="C274" t="s">
        <v>8</v>
      </c>
    </row>
    <row r="275" spans="1:3" x14ac:dyDescent="0.35">
      <c r="A275" s="5">
        <v>5</v>
      </c>
      <c r="B275" t="s">
        <v>20</v>
      </c>
      <c r="C275" t="s">
        <v>6</v>
      </c>
    </row>
    <row r="276" spans="1:3" x14ac:dyDescent="0.35">
      <c r="A276" s="5">
        <v>5</v>
      </c>
      <c r="B276" t="s">
        <v>22</v>
      </c>
      <c r="C276" t="s">
        <v>6</v>
      </c>
    </row>
    <row r="277" spans="1:3" x14ac:dyDescent="0.35">
      <c r="A277" s="5">
        <v>5</v>
      </c>
      <c r="B277" t="s">
        <v>33</v>
      </c>
      <c r="C277" t="s">
        <v>4</v>
      </c>
    </row>
    <row r="278" spans="1:3" x14ac:dyDescent="0.35">
      <c r="A278" s="5">
        <v>4</v>
      </c>
      <c r="B278" t="s">
        <v>20</v>
      </c>
      <c r="C278" t="s">
        <v>1</v>
      </c>
    </row>
    <row r="279" spans="1:3" x14ac:dyDescent="0.35">
      <c r="A279" s="5">
        <v>4</v>
      </c>
      <c r="B279" t="s">
        <v>17</v>
      </c>
      <c r="C279" t="s">
        <v>2</v>
      </c>
    </row>
    <row r="280" spans="1:3" x14ac:dyDescent="0.35">
      <c r="A280" s="5">
        <v>4</v>
      </c>
      <c r="B280" t="s">
        <v>13</v>
      </c>
      <c r="C280" t="s">
        <v>7</v>
      </c>
    </row>
    <row r="281" spans="1:3" x14ac:dyDescent="0.35">
      <c r="A281" s="5">
        <v>4</v>
      </c>
      <c r="B281" t="s">
        <v>11</v>
      </c>
      <c r="C281" t="s">
        <v>7</v>
      </c>
    </row>
    <row r="282" spans="1:3" x14ac:dyDescent="0.35">
      <c r="A282" s="5">
        <v>4</v>
      </c>
      <c r="B282" t="s">
        <v>109</v>
      </c>
      <c r="C282" t="s">
        <v>5</v>
      </c>
    </row>
    <row r="283" spans="1:3" x14ac:dyDescent="0.35">
      <c r="A283" s="5">
        <v>4</v>
      </c>
      <c r="B283" t="s">
        <v>14</v>
      </c>
      <c r="C283" t="s">
        <v>5</v>
      </c>
    </row>
    <row r="284" spans="1:3" x14ac:dyDescent="0.35">
      <c r="A284" s="5">
        <v>4</v>
      </c>
      <c r="B284" t="s">
        <v>26</v>
      </c>
      <c r="C284" t="s">
        <v>3</v>
      </c>
    </row>
    <row r="285" spans="1:3" x14ac:dyDescent="0.35">
      <c r="A285" s="5">
        <v>4</v>
      </c>
      <c r="B285" t="s">
        <v>23</v>
      </c>
      <c r="C285" t="s">
        <v>8</v>
      </c>
    </row>
    <row r="286" spans="1:3" x14ac:dyDescent="0.35">
      <c r="A286" s="5">
        <v>4</v>
      </c>
      <c r="B286" t="s">
        <v>33</v>
      </c>
      <c r="C286" t="s">
        <v>8</v>
      </c>
    </row>
    <row r="287" spans="1:3" x14ac:dyDescent="0.35">
      <c r="A287" s="5">
        <v>4</v>
      </c>
      <c r="B287" t="s">
        <v>53</v>
      </c>
      <c r="C287" t="s">
        <v>6</v>
      </c>
    </row>
    <row r="288" spans="1:3" x14ac:dyDescent="0.35">
      <c r="A288" s="5">
        <v>4</v>
      </c>
      <c r="B288" t="s">
        <v>22</v>
      </c>
      <c r="C288" t="s">
        <v>6</v>
      </c>
    </row>
    <row r="289" spans="1:3" x14ac:dyDescent="0.35">
      <c r="A289" s="5">
        <v>4</v>
      </c>
      <c r="B289" t="s">
        <v>27</v>
      </c>
      <c r="C289" t="s">
        <v>4</v>
      </c>
    </row>
    <row r="290" spans="1:3" x14ac:dyDescent="0.35">
      <c r="A290" s="5">
        <v>3</v>
      </c>
      <c r="B290" t="s">
        <v>20</v>
      </c>
      <c r="C290" t="s">
        <v>1</v>
      </c>
    </row>
    <row r="291" spans="1:3" x14ac:dyDescent="0.35">
      <c r="A291" s="5">
        <v>3</v>
      </c>
      <c r="B291" t="s">
        <v>28</v>
      </c>
      <c r="C291" t="s">
        <v>2</v>
      </c>
    </row>
    <row r="292" spans="1:3" x14ac:dyDescent="0.35">
      <c r="A292" s="5">
        <v>3</v>
      </c>
      <c r="B292" t="s">
        <v>21</v>
      </c>
      <c r="C292" t="s">
        <v>7</v>
      </c>
    </row>
    <row r="293" spans="1:3" x14ac:dyDescent="0.35">
      <c r="A293" s="5">
        <v>3</v>
      </c>
      <c r="B293" t="s">
        <v>13</v>
      </c>
      <c r="C293" t="s">
        <v>7</v>
      </c>
    </row>
    <row r="294" spans="1:3" x14ac:dyDescent="0.35">
      <c r="A294" s="5">
        <v>3</v>
      </c>
      <c r="B294" t="s">
        <v>109</v>
      </c>
      <c r="C294" t="s">
        <v>5</v>
      </c>
    </row>
    <row r="295" spans="1:3" x14ac:dyDescent="0.35">
      <c r="A295" s="5">
        <v>3</v>
      </c>
      <c r="B295" t="s">
        <v>11</v>
      </c>
      <c r="C295" t="s">
        <v>5</v>
      </c>
    </row>
    <row r="296" spans="1:3" x14ac:dyDescent="0.35">
      <c r="A296" s="5">
        <v>3</v>
      </c>
      <c r="B296" t="s">
        <v>17</v>
      </c>
      <c r="C296" t="s">
        <v>3</v>
      </c>
    </row>
    <row r="297" spans="1:3" x14ac:dyDescent="0.35">
      <c r="A297" s="5">
        <v>3</v>
      </c>
      <c r="B297" t="s">
        <v>16</v>
      </c>
      <c r="C297" t="s">
        <v>8</v>
      </c>
    </row>
    <row r="298" spans="1:3" x14ac:dyDescent="0.35">
      <c r="A298" s="5">
        <v>3</v>
      </c>
      <c r="B298" t="s">
        <v>33</v>
      </c>
      <c r="C298" t="s">
        <v>8</v>
      </c>
    </row>
    <row r="299" spans="1:3" x14ac:dyDescent="0.35">
      <c r="A299" s="5">
        <v>3</v>
      </c>
      <c r="B299" t="s">
        <v>12</v>
      </c>
      <c r="C299" t="s">
        <v>6</v>
      </c>
    </row>
    <row r="300" spans="1:3" x14ac:dyDescent="0.35">
      <c r="A300" s="5">
        <v>3</v>
      </c>
      <c r="B300" t="s">
        <v>9</v>
      </c>
      <c r="C300" t="s">
        <v>6</v>
      </c>
    </row>
    <row r="301" spans="1:3" x14ac:dyDescent="0.35">
      <c r="A301" s="5">
        <v>3</v>
      </c>
      <c r="B301" t="s">
        <v>22</v>
      </c>
      <c r="C301" t="s">
        <v>4</v>
      </c>
    </row>
    <row r="302" spans="1:3" x14ac:dyDescent="0.35">
      <c r="A302" s="5">
        <v>2</v>
      </c>
      <c r="B302" t="s">
        <v>40</v>
      </c>
      <c r="C302" t="s">
        <v>1</v>
      </c>
    </row>
    <row r="303" spans="1:3" x14ac:dyDescent="0.35">
      <c r="A303" s="5">
        <v>2</v>
      </c>
      <c r="B303" t="s">
        <v>110</v>
      </c>
      <c r="C303" t="s">
        <v>2</v>
      </c>
    </row>
    <row r="304" spans="1:3" x14ac:dyDescent="0.35">
      <c r="A304" s="5">
        <v>2</v>
      </c>
      <c r="B304" t="s">
        <v>11</v>
      </c>
      <c r="C304" t="s">
        <v>7</v>
      </c>
    </row>
    <row r="305" spans="1:3" x14ac:dyDescent="0.35">
      <c r="A305" s="5">
        <v>2</v>
      </c>
      <c r="B305" t="s">
        <v>30</v>
      </c>
      <c r="C305" t="s">
        <v>7</v>
      </c>
    </row>
    <row r="306" spans="1:3" x14ac:dyDescent="0.35">
      <c r="A306" s="5">
        <v>2</v>
      </c>
      <c r="B306" t="s">
        <v>26</v>
      </c>
      <c r="C306" t="s">
        <v>5</v>
      </c>
    </row>
    <row r="307" spans="1:3" x14ac:dyDescent="0.35">
      <c r="A307" s="5">
        <v>2</v>
      </c>
      <c r="B307" t="s">
        <v>10</v>
      </c>
      <c r="C307" t="s">
        <v>5</v>
      </c>
    </row>
    <row r="308" spans="1:3" x14ac:dyDescent="0.35">
      <c r="A308" s="5">
        <v>2</v>
      </c>
      <c r="B308" t="s">
        <v>17</v>
      </c>
      <c r="C308" t="s">
        <v>3</v>
      </c>
    </row>
    <row r="309" spans="1:3" x14ac:dyDescent="0.35">
      <c r="A309" s="5">
        <v>2</v>
      </c>
      <c r="B309" t="s">
        <v>22</v>
      </c>
      <c r="C309" t="s">
        <v>8</v>
      </c>
    </row>
    <row r="310" spans="1:3" x14ac:dyDescent="0.35">
      <c r="A310" s="5">
        <v>2</v>
      </c>
      <c r="B310" t="s">
        <v>43</v>
      </c>
      <c r="C310" t="s">
        <v>8</v>
      </c>
    </row>
    <row r="311" spans="1:3" x14ac:dyDescent="0.35">
      <c r="A311" s="5">
        <v>2</v>
      </c>
      <c r="B311" t="s">
        <v>27</v>
      </c>
      <c r="C311" t="s">
        <v>6</v>
      </c>
    </row>
    <row r="312" spans="1:3" x14ac:dyDescent="0.35">
      <c r="A312" s="5">
        <v>2</v>
      </c>
      <c r="B312" t="s">
        <v>53</v>
      </c>
      <c r="C312" t="s">
        <v>6</v>
      </c>
    </row>
    <row r="313" spans="1:3" x14ac:dyDescent="0.35">
      <c r="A313" s="5">
        <v>2</v>
      </c>
      <c r="B313" t="s">
        <v>12</v>
      </c>
      <c r="C313" t="s">
        <v>4</v>
      </c>
    </row>
    <row r="314" spans="1:3" x14ac:dyDescent="0.35">
      <c r="A314" s="5">
        <v>1</v>
      </c>
      <c r="B314" t="s">
        <v>20</v>
      </c>
      <c r="C314" t="s">
        <v>1</v>
      </c>
    </row>
    <row r="315" spans="1:3" x14ac:dyDescent="0.35">
      <c r="A315" s="5">
        <v>1</v>
      </c>
      <c r="B315" t="s">
        <v>109</v>
      </c>
      <c r="C315" t="s">
        <v>2</v>
      </c>
    </row>
    <row r="316" spans="1:3" x14ac:dyDescent="0.35">
      <c r="A316" s="5">
        <v>1</v>
      </c>
      <c r="B316" t="s">
        <v>40</v>
      </c>
      <c r="C316" t="s">
        <v>7</v>
      </c>
    </row>
    <row r="317" spans="1:3" x14ac:dyDescent="0.35">
      <c r="A317" s="5">
        <v>1</v>
      </c>
      <c r="B317" t="s">
        <v>10</v>
      </c>
      <c r="C317" t="s">
        <v>7</v>
      </c>
    </row>
    <row r="318" spans="1:3" x14ac:dyDescent="0.35">
      <c r="A318" s="5">
        <v>1</v>
      </c>
      <c r="B318" t="s">
        <v>24</v>
      </c>
      <c r="C318" t="s">
        <v>5</v>
      </c>
    </row>
    <row r="319" spans="1:3" x14ac:dyDescent="0.35">
      <c r="A319" s="5">
        <v>1</v>
      </c>
      <c r="B319" t="s">
        <v>11</v>
      </c>
      <c r="C319" t="s">
        <v>5</v>
      </c>
    </row>
    <row r="320" spans="1:3" x14ac:dyDescent="0.35">
      <c r="A320" s="5">
        <v>1</v>
      </c>
      <c r="B320" t="s">
        <v>17</v>
      </c>
      <c r="C320" t="s">
        <v>3</v>
      </c>
    </row>
    <row r="321" spans="1:3" x14ac:dyDescent="0.35">
      <c r="A321" s="5">
        <v>1</v>
      </c>
      <c r="B321" t="s">
        <v>53</v>
      </c>
      <c r="C321" t="s">
        <v>8</v>
      </c>
    </row>
    <row r="322" spans="1:3" x14ac:dyDescent="0.35">
      <c r="A322" s="5">
        <v>1</v>
      </c>
      <c r="B322" t="s">
        <v>32</v>
      </c>
      <c r="C322" t="s">
        <v>8</v>
      </c>
    </row>
    <row r="323" spans="1:3" x14ac:dyDescent="0.35">
      <c r="A323" s="5">
        <v>1</v>
      </c>
      <c r="B323" t="s">
        <v>110</v>
      </c>
      <c r="C323" t="s">
        <v>6</v>
      </c>
    </row>
    <row r="324" spans="1:3" x14ac:dyDescent="0.35">
      <c r="A324" s="5">
        <v>1</v>
      </c>
      <c r="B324" t="s">
        <v>16</v>
      </c>
      <c r="C324" t="s">
        <v>6</v>
      </c>
    </row>
    <row r="325" spans="1:3" x14ac:dyDescent="0.35">
      <c r="A325" s="5">
        <v>1</v>
      </c>
      <c r="B325" t="s">
        <v>27</v>
      </c>
      <c r="C325" t="s">
        <v>4</v>
      </c>
    </row>
    <row r="326" spans="1:3" x14ac:dyDescent="0.35">
      <c r="A326" s="5">
        <v>0</v>
      </c>
      <c r="B326" t="s">
        <v>16</v>
      </c>
      <c r="C326" t="s">
        <v>1</v>
      </c>
    </row>
    <row r="327" spans="1:3" x14ac:dyDescent="0.35">
      <c r="A327" s="5">
        <v>0</v>
      </c>
      <c r="B327" t="s">
        <v>30</v>
      </c>
      <c r="C327" t="s">
        <v>2</v>
      </c>
    </row>
    <row r="328" spans="1:3" x14ac:dyDescent="0.35">
      <c r="A328" s="5">
        <v>0</v>
      </c>
      <c r="B328" t="s">
        <v>109</v>
      </c>
      <c r="C328" t="s">
        <v>7</v>
      </c>
    </row>
    <row r="329" spans="1:3" x14ac:dyDescent="0.35">
      <c r="A329" s="5">
        <v>0</v>
      </c>
      <c r="B329" t="s">
        <v>40</v>
      </c>
      <c r="C329" t="s">
        <v>7</v>
      </c>
    </row>
    <row r="330" spans="1:3" x14ac:dyDescent="0.35">
      <c r="A330" s="5">
        <v>0</v>
      </c>
      <c r="B330" t="s">
        <v>18</v>
      </c>
      <c r="C330" t="s">
        <v>5</v>
      </c>
    </row>
    <row r="331" spans="1:3" x14ac:dyDescent="0.35">
      <c r="A331" s="5">
        <v>0</v>
      </c>
      <c r="B331" t="s">
        <v>17</v>
      </c>
      <c r="C331" t="s">
        <v>5</v>
      </c>
    </row>
    <row r="332" spans="1:3" x14ac:dyDescent="0.35">
      <c r="A332" s="5">
        <v>0</v>
      </c>
      <c r="B332" t="s">
        <v>14</v>
      </c>
      <c r="C332" t="s">
        <v>3</v>
      </c>
    </row>
    <row r="333" spans="1:3" x14ac:dyDescent="0.35">
      <c r="A333" s="5">
        <v>0</v>
      </c>
      <c r="B333" t="s">
        <v>22</v>
      </c>
      <c r="C333" t="s">
        <v>8</v>
      </c>
    </row>
    <row r="334" spans="1:3" x14ac:dyDescent="0.35">
      <c r="A334" s="5">
        <v>0</v>
      </c>
      <c r="B334" t="s">
        <v>33</v>
      </c>
      <c r="C334" t="s">
        <v>8</v>
      </c>
    </row>
    <row r="335" spans="1:3" x14ac:dyDescent="0.35">
      <c r="A335" s="5">
        <v>0</v>
      </c>
      <c r="B335" t="s">
        <v>32</v>
      </c>
      <c r="C335" t="s">
        <v>6</v>
      </c>
    </row>
    <row r="336" spans="1:3" x14ac:dyDescent="0.35">
      <c r="A336" s="5">
        <v>0</v>
      </c>
      <c r="B336" t="s">
        <v>12</v>
      </c>
      <c r="C336" t="s">
        <v>6</v>
      </c>
    </row>
    <row r="337" spans="1:3" x14ac:dyDescent="0.35">
      <c r="A337" s="5">
        <v>0</v>
      </c>
      <c r="B337" t="s">
        <v>110</v>
      </c>
      <c r="C337" t="s">
        <v>4</v>
      </c>
    </row>
  </sheetData>
  <phoneticPr fontId="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B1EEB3-C9CE-4EDE-A1D1-D3E9332E22B1}">
  <dimension ref="A1:M259"/>
  <sheetViews>
    <sheetView topLeftCell="A5" workbookViewId="0">
      <selection activeCell="A32" sqref="A32"/>
    </sheetView>
  </sheetViews>
  <sheetFormatPr defaultRowHeight="15" x14ac:dyDescent="0.35"/>
  <cols>
    <col min="1" max="1" width="9.25" customWidth="1"/>
    <col min="3" max="3" width="15.4375" bestFit="1" customWidth="1"/>
    <col min="4" max="4" width="18.125" bestFit="1" customWidth="1"/>
    <col min="5" max="5" width="14.4375" bestFit="1" customWidth="1"/>
    <col min="6" max="7" width="15.75" bestFit="1" customWidth="1"/>
    <col min="8" max="8" width="17.5625" bestFit="1" customWidth="1"/>
    <col min="9" max="9" width="17.5625" customWidth="1"/>
    <col min="10" max="10" width="17.5625" bestFit="1" customWidth="1"/>
    <col min="11" max="11" width="17.5625" style="4" customWidth="1"/>
    <col min="12" max="15" width="18.125" bestFit="1" customWidth="1"/>
  </cols>
  <sheetData>
    <row r="1" spans="1:13" x14ac:dyDescent="0.35">
      <c r="A1" t="s">
        <v>49</v>
      </c>
      <c r="B1" t="s">
        <v>0</v>
      </c>
      <c r="C1" t="s">
        <v>39</v>
      </c>
      <c r="D1" t="s">
        <v>38</v>
      </c>
      <c r="E1" t="s">
        <v>45</v>
      </c>
      <c r="H1" t="s">
        <v>46</v>
      </c>
      <c r="I1" t="s">
        <v>47</v>
      </c>
      <c r="J1" t="s">
        <v>48</v>
      </c>
    </row>
    <row r="2" spans="1:13" x14ac:dyDescent="0.35">
      <c r="A2" t="str">
        <f t="shared" ref="A2:A33" si="0">_xlfn.CONCAT(B2,C2)</f>
        <v>20BUF</v>
      </c>
      <c r="B2">
        <v>20</v>
      </c>
      <c r="C2" t="s">
        <v>19</v>
      </c>
      <c r="D2" t="s">
        <v>4</v>
      </c>
      <c r="E2">
        <v>2.66</v>
      </c>
      <c r="H2">
        <v>21</v>
      </c>
      <c r="I2">
        <v>182.5</v>
      </c>
      <c r="J2" s="1">
        <f t="shared" ref="J2:J12" si="1">I2/I3</f>
        <v>0.92078708375378415</v>
      </c>
    </row>
    <row r="3" spans="1:13" x14ac:dyDescent="0.35">
      <c r="A3" t="str">
        <f t="shared" si="0"/>
        <v>19TEN</v>
      </c>
      <c r="B3">
        <v>19</v>
      </c>
      <c r="C3" t="s">
        <v>12</v>
      </c>
      <c r="D3" t="s">
        <v>4</v>
      </c>
      <c r="E3">
        <v>2.4900000000000002</v>
      </c>
      <c r="H3">
        <v>20</v>
      </c>
      <c r="I3">
        <v>198.2</v>
      </c>
      <c r="J3" s="1">
        <f t="shared" si="1"/>
        <v>1.053134962805526</v>
      </c>
    </row>
    <row r="4" spans="1:13" x14ac:dyDescent="0.35">
      <c r="A4" t="str">
        <f t="shared" si="0"/>
        <v>18KC</v>
      </c>
      <c r="B4">
        <v>18</v>
      </c>
      <c r="C4" t="s">
        <v>9</v>
      </c>
      <c r="D4" t="s">
        <v>4</v>
      </c>
      <c r="E4">
        <v>3.52</v>
      </c>
      <c r="H4">
        <v>19</v>
      </c>
      <c r="I4">
        <v>188.2</v>
      </c>
      <c r="J4" s="1">
        <f t="shared" si="1"/>
        <v>1.062076749435666</v>
      </c>
    </row>
    <row r="5" spans="1:13" x14ac:dyDescent="0.35">
      <c r="A5" t="str">
        <f t="shared" si="0"/>
        <v>17JAX</v>
      </c>
      <c r="B5">
        <v>17</v>
      </c>
      <c r="C5" t="s">
        <v>25</v>
      </c>
      <c r="D5" t="s">
        <v>4</v>
      </c>
      <c r="E5" s="4">
        <v>3.9347305389221559</v>
      </c>
      <c r="H5">
        <v>18</v>
      </c>
      <c r="I5">
        <v>177.2</v>
      </c>
      <c r="J5" s="1">
        <f t="shared" si="1"/>
        <v>1.0610778443113771</v>
      </c>
    </row>
    <row r="6" spans="1:13" x14ac:dyDescent="0.35">
      <c r="A6" t="str">
        <f t="shared" si="0"/>
        <v>16PIT</v>
      </c>
      <c r="B6">
        <v>16</v>
      </c>
      <c r="C6" t="s">
        <v>27</v>
      </c>
      <c r="D6" t="s">
        <v>4</v>
      </c>
      <c r="E6" s="4">
        <v>15.424743994332452</v>
      </c>
      <c r="H6">
        <v>17</v>
      </c>
      <c r="I6">
        <v>167</v>
      </c>
      <c r="J6" s="1">
        <f t="shared" si="1"/>
        <v>1.0755458234043922</v>
      </c>
    </row>
    <row r="7" spans="1:13" x14ac:dyDescent="0.35">
      <c r="A7" t="str">
        <f t="shared" si="0"/>
        <v>15NE</v>
      </c>
      <c r="B7">
        <v>15</v>
      </c>
      <c r="C7" t="s">
        <v>20</v>
      </c>
      <c r="D7" t="s">
        <v>4</v>
      </c>
      <c r="E7" s="4">
        <v>9.7710776102735899</v>
      </c>
      <c r="H7">
        <v>16</v>
      </c>
      <c r="I7">
        <v>155.27000000000001</v>
      </c>
      <c r="J7" s="1">
        <f t="shared" si="1"/>
        <v>1.0836823003908431</v>
      </c>
    </row>
    <row r="8" spans="1:13" x14ac:dyDescent="0.35">
      <c r="A8" t="str">
        <f t="shared" si="0"/>
        <v>14IND</v>
      </c>
      <c r="B8">
        <v>14</v>
      </c>
      <c r="C8" t="s">
        <v>22</v>
      </c>
      <c r="D8" t="s">
        <v>4</v>
      </c>
      <c r="E8" s="4">
        <v>4.5112781954887211</v>
      </c>
      <c r="H8">
        <v>15</v>
      </c>
      <c r="I8">
        <v>143.28</v>
      </c>
      <c r="J8" s="1">
        <f t="shared" si="1"/>
        <v>1.0772932330827067</v>
      </c>
    </row>
    <row r="9" spans="1:13" x14ac:dyDescent="0.35">
      <c r="A9" t="str">
        <f t="shared" si="0"/>
        <v>13NE</v>
      </c>
      <c r="B9">
        <v>13</v>
      </c>
      <c r="C9" t="s">
        <v>20</v>
      </c>
      <c r="D9" t="s">
        <v>4</v>
      </c>
      <c r="E9" s="4">
        <v>11.219512195121952</v>
      </c>
      <c r="H9">
        <v>14</v>
      </c>
      <c r="I9">
        <v>133</v>
      </c>
      <c r="J9" s="1">
        <f t="shared" si="1"/>
        <v>1.0813008130081301</v>
      </c>
    </row>
    <row r="10" spans="1:13" x14ac:dyDescent="0.35">
      <c r="A10" t="str">
        <f t="shared" si="0"/>
        <v>12NE</v>
      </c>
      <c r="B10">
        <v>12</v>
      </c>
      <c r="C10" t="s">
        <v>20</v>
      </c>
      <c r="D10" t="s">
        <v>4</v>
      </c>
      <c r="E10" s="4">
        <v>6.6500415627597675</v>
      </c>
      <c r="H10">
        <v>13</v>
      </c>
      <c r="I10">
        <v>123</v>
      </c>
      <c r="J10" s="1">
        <f t="shared" si="1"/>
        <v>1.0224438902743143</v>
      </c>
    </row>
    <row r="11" spans="1:13" x14ac:dyDescent="0.35">
      <c r="A11" t="str">
        <f t="shared" si="0"/>
        <v>11BAL</v>
      </c>
      <c r="B11">
        <v>11</v>
      </c>
      <c r="C11" t="s">
        <v>16</v>
      </c>
      <c r="D11" t="s">
        <v>4</v>
      </c>
      <c r="E11" s="4">
        <v>4.770833333333333</v>
      </c>
      <c r="H11">
        <v>12</v>
      </c>
      <c r="I11">
        <v>120.3</v>
      </c>
      <c r="J11" s="1">
        <f t="shared" si="1"/>
        <v>1.0024999999999999</v>
      </c>
    </row>
    <row r="12" spans="1:13" x14ac:dyDescent="0.35">
      <c r="A12" t="str">
        <f t="shared" si="0"/>
        <v>10JET</v>
      </c>
      <c r="B12">
        <v>10</v>
      </c>
      <c r="C12" t="s">
        <v>37</v>
      </c>
      <c r="D12" t="s">
        <v>4</v>
      </c>
      <c r="E12" s="4"/>
      <c r="H12">
        <v>11</v>
      </c>
      <c r="I12">
        <v>120</v>
      </c>
      <c r="J12" s="3" t="e">
        <f t="shared" si="1"/>
        <v>#DIV/0!</v>
      </c>
    </row>
    <row r="13" spans="1:13" x14ac:dyDescent="0.35">
      <c r="A13" t="str">
        <f t="shared" si="0"/>
        <v>20CLE</v>
      </c>
      <c r="B13">
        <v>20</v>
      </c>
      <c r="C13" t="s">
        <v>43</v>
      </c>
      <c r="D13" t="s">
        <v>6</v>
      </c>
      <c r="E13">
        <v>3.94</v>
      </c>
      <c r="J13" s="3">
        <f>AVERAGE(J3:J11)</f>
        <v>1.0576728463014395</v>
      </c>
    </row>
    <row r="14" spans="1:13" x14ac:dyDescent="0.35">
      <c r="A14" t="str">
        <f t="shared" si="0"/>
        <v>20BAL</v>
      </c>
      <c r="B14">
        <v>20</v>
      </c>
      <c r="C14" t="s">
        <v>16</v>
      </c>
      <c r="D14" t="s">
        <v>6</v>
      </c>
      <c r="E14">
        <v>1.31</v>
      </c>
    </row>
    <row r="15" spans="1:13" x14ac:dyDescent="0.35">
      <c r="A15" t="str">
        <f t="shared" si="0"/>
        <v>19HOU</v>
      </c>
      <c r="B15">
        <v>19</v>
      </c>
      <c r="C15" t="s">
        <v>15</v>
      </c>
      <c r="D15" t="s">
        <v>6</v>
      </c>
      <c r="E15">
        <v>1.76</v>
      </c>
    </row>
    <row r="16" spans="1:13" x14ac:dyDescent="0.35">
      <c r="A16" t="str">
        <f t="shared" si="0"/>
        <v>19BAL</v>
      </c>
      <c r="B16">
        <v>19</v>
      </c>
      <c r="C16" t="s">
        <v>16</v>
      </c>
      <c r="D16" t="s">
        <v>6</v>
      </c>
      <c r="E16">
        <v>1.1499999999999999</v>
      </c>
      <c r="H16" t="s">
        <v>49</v>
      </c>
      <c r="I16" t="s">
        <v>46</v>
      </c>
      <c r="J16" t="s">
        <v>51</v>
      </c>
      <c r="K16" t="s">
        <v>50</v>
      </c>
      <c r="L16" s="4" t="s">
        <v>52</v>
      </c>
      <c r="M16" t="s">
        <v>38</v>
      </c>
    </row>
    <row r="17" spans="1:13" x14ac:dyDescent="0.35">
      <c r="A17" t="str">
        <f t="shared" si="0"/>
        <v>18IND</v>
      </c>
      <c r="B17">
        <v>18</v>
      </c>
      <c r="C17" t="s">
        <v>22</v>
      </c>
      <c r="D17" t="s">
        <v>6</v>
      </c>
      <c r="E17">
        <v>12.97</v>
      </c>
      <c r="H17" t="str">
        <f>_xlfn.CONCAT(Table2[[#This Row],[Year]],Table2[[#This Row],[Team]])</f>
        <v>20DAL</v>
      </c>
      <c r="I17">
        <v>20</v>
      </c>
      <c r="J17" t="s">
        <v>21</v>
      </c>
      <c r="K17">
        <v>31.4</v>
      </c>
      <c r="L17" s="4">
        <f>K17/VLOOKUP(I17,Table1[[Year]:[Salary Cap]],2,FALSE)*100</f>
        <v>15.842583249243189</v>
      </c>
      <c r="M17" t="str">
        <f>_xlfn.IFNA(VLOOKUP(Table2[[#This Row],[Column1]],Table3[[Column1]:[Result]],4,FALSE),"MISSED PLAYOFFS")</f>
        <v>MISSED PLAYOFFS</v>
      </c>
    </row>
    <row r="18" spans="1:13" x14ac:dyDescent="0.35">
      <c r="A18" t="str">
        <f t="shared" si="0"/>
        <v>18LAC</v>
      </c>
      <c r="B18">
        <v>18</v>
      </c>
      <c r="C18" t="s">
        <v>23</v>
      </c>
      <c r="D18" t="s">
        <v>6</v>
      </c>
      <c r="E18">
        <v>12.23</v>
      </c>
      <c r="H18" t="str">
        <f>_xlfn.CONCAT(Table2[[#This Row],[Year]],Table2[[#This Row],[Team]])</f>
        <v>20SEA</v>
      </c>
      <c r="I18">
        <v>20</v>
      </c>
      <c r="J18" t="s">
        <v>13</v>
      </c>
      <c r="K18">
        <v>31</v>
      </c>
      <c r="L18" s="4">
        <f>K18/VLOOKUP(I18,Table1[[Year]:[Salary Cap]],2,FALSE)*100</f>
        <v>15.640766902119072</v>
      </c>
      <c r="M18" t="str">
        <f>_xlfn.IFNA(VLOOKUP(Table2[[#This Row],[Column1]],Table3[[Column1]:[Result]],4,FALSE),"MISSED PLAYOFFS")</f>
        <v>NFC Wild Card Loser</v>
      </c>
    </row>
    <row r="19" spans="1:13" x14ac:dyDescent="0.35">
      <c r="A19" t="str">
        <f t="shared" si="0"/>
        <v>17PIT</v>
      </c>
      <c r="B19">
        <v>17</v>
      </c>
      <c r="C19" t="s">
        <v>27</v>
      </c>
      <c r="D19" t="s">
        <v>6</v>
      </c>
      <c r="E19" s="4">
        <v>10.898203592814371</v>
      </c>
      <c r="H19" t="str">
        <f>_xlfn.CONCAT(Table2[[#This Row],[Year]],Table2[[#This Row],[Team]])</f>
        <v>20LAR</v>
      </c>
      <c r="I19">
        <v>20</v>
      </c>
      <c r="J19" t="s">
        <v>44</v>
      </c>
      <c r="K19">
        <v>28.841999999999999</v>
      </c>
      <c r="L19" s="4">
        <f>K19/VLOOKUP(I19,Table1[[Year]:[Salary Cap]],2,FALSE)*100</f>
        <v>14.551967709384462</v>
      </c>
      <c r="M19" t="str">
        <f>_xlfn.IFNA(VLOOKUP(Table2[[#This Row],[Column1]],Table3[[Column1]:[Result]],4,FALSE),"MISSED PLAYOFFS")</f>
        <v>NFC Divisional Loser</v>
      </c>
    </row>
    <row r="20" spans="1:13" x14ac:dyDescent="0.35">
      <c r="A20" t="str">
        <f t="shared" si="0"/>
        <v>17TEN</v>
      </c>
      <c r="B20">
        <v>17</v>
      </c>
      <c r="C20" t="s">
        <v>12</v>
      </c>
      <c r="D20" t="s">
        <v>6</v>
      </c>
      <c r="E20" s="4">
        <v>3.9538922155688621</v>
      </c>
      <c r="H20" t="str">
        <f>_xlfn.CONCAT(Table2[[#This Row],[Year]],Table2[[#This Row],[Team]])</f>
        <v>20SF</v>
      </c>
      <c r="I20">
        <v>20</v>
      </c>
      <c r="J20" t="s">
        <v>10</v>
      </c>
      <c r="K20">
        <v>26.6</v>
      </c>
      <c r="L20" s="4">
        <f>K20/VLOOKUP(I20,Table1[[Year]:[Salary Cap]],2,FALSE)*100</f>
        <v>13.420787083753785</v>
      </c>
      <c r="M20" t="str">
        <f>_xlfn.IFNA(VLOOKUP(Table2[[#This Row],[Column1]],Table3[[Column1]:[Result]],4,FALSE),"MISSED PLAYOFFS")</f>
        <v>MISSED PLAYOFFS</v>
      </c>
    </row>
    <row r="21" spans="1:13" x14ac:dyDescent="0.35">
      <c r="A21" t="str">
        <f t="shared" si="0"/>
        <v>16KC</v>
      </c>
      <c r="B21">
        <v>16</v>
      </c>
      <c r="C21" t="s">
        <v>9</v>
      </c>
      <c r="D21" t="s">
        <v>6</v>
      </c>
      <c r="E21" s="4">
        <v>11.463901590777354</v>
      </c>
      <c r="H21" t="str">
        <f>_xlfn.CONCAT(Table2[[#This Row],[Year]],Table2[[#This Row],[Team]])</f>
        <v>20IND</v>
      </c>
      <c r="I21">
        <v>20</v>
      </c>
      <c r="J21" t="s">
        <v>22</v>
      </c>
      <c r="K21">
        <v>25</v>
      </c>
      <c r="L21" s="4">
        <f>K21/VLOOKUP(I21,Table1[[Year]:[Salary Cap]],2,FALSE)*100</f>
        <v>12.613521695257315</v>
      </c>
      <c r="M21" t="str">
        <f>_xlfn.IFNA(VLOOKUP(Table2[[#This Row],[Column1]],Table3[[Column1]:[Result]],4,FALSE),"MISSED PLAYOFFS")</f>
        <v>AFC Wild Card Loser</v>
      </c>
    </row>
    <row r="22" spans="1:13" x14ac:dyDescent="0.35">
      <c r="A22" t="str">
        <f t="shared" si="0"/>
        <v>16HOU</v>
      </c>
      <c r="B22">
        <v>16</v>
      </c>
      <c r="C22" t="s">
        <v>15</v>
      </c>
      <c r="D22" t="s">
        <v>6</v>
      </c>
      <c r="E22" s="4">
        <v>7.7284729825465321</v>
      </c>
      <c r="H22" t="str">
        <f>_xlfn.CONCAT(Table2[[#This Row],[Year]],Table2[[#This Row],[Team]])</f>
        <v>19DET</v>
      </c>
      <c r="I22">
        <v>19</v>
      </c>
      <c r="J22" t="s">
        <v>29</v>
      </c>
      <c r="K22">
        <v>30.7</v>
      </c>
      <c r="L22" s="4">
        <f>K22/VLOOKUP(I22,Table1[[Year]:[Salary Cap]],2,FALSE)*100</f>
        <v>16.312433581296492</v>
      </c>
      <c r="M22" t="str">
        <f>_xlfn.IFNA(VLOOKUP(Table2[[#This Row],[Column1]],Table3[[Column1]:[Result]],4,FALSE),"MISSED PLAYOFFS")</f>
        <v>MISSED PLAYOFFS</v>
      </c>
    </row>
    <row r="23" spans="1:13" x14ac:dyDescent="0.35">
      <c r="A23" t="str">
        <f t="shared" si="0"/>
        <v>15PIT</v>
      </c>
      <c r="B23">
        <v>15</v>
      </c>
      <c r="C23" t="s">
        <v>27</v>
      </c>
      <c r="D23" t="s">
        <v>6</v>
      </c>
      <c r="E23" s="4">
        <v>12.035873813512005</v>
      </c>
      <c r="H23" t="str">
        <f>_xlfn.CONCAT(Table2[[#This Row],[Year]],Table2[[#This Row],[Team]])</f>
        <v>19GB</v>
      </c>
      <c r="I23">
        <v>19</v>
      </c>
      <c r="J23" t="s">
        <v>11</v>
      </c>
      <c r="K23">
        <v>29.352</v>
      </c>
      <c r="L23" s="4">
        <f>K23/VLOOKUP(I23,Table1[[Year]:[Salary Cap]],2,FALSE)*100</f>
        <v>15.596174282678001</v>
      </c>
      <c r="M23" t="str">
        <f>_xlfn.IFNA(VLOOKUP(Table2[[#This Row],[Column1]],Table3[[Column1]:[Result]],4,FALSE),"MISSED PLAYOFFS")</f>
        <v>NFC Champ Loser</v>
      </c>
    </row>
    <row r="24" spans="1:13" x14ac:dyDescent="0.35">
      <c r="A24" t="str">
        <f t="shared" si="0"/>
        <v>15KC</v>
      </c>
      <c r="B24">
        <v>15</v>
      </c>
      <c r="C24" t="s">
        <v>9</v>
      </c>
      <c r="D24" t="s">
        <v>6</v>
      </c>
      <c r="E24" s="4">
        <v>10.887772194304857</v>
      </c>
      <c r="H24" t="str">
        <f>_xlfn.CONCAT(Table2[[#This Row],[Year]],Table2[[#This Row],[Team]])</f>
        <v>19MIN</v>
      </c>
      <c r="I24">
        <v>19</v>
      </c>
      <c r="J24" t="s">
        <v>14</v>
      </c>
      <c r="K24">
        <v>29</v>
      </c>
      <c r="L24" s="4">
        <f>K24/VLOOKUP(I24,Table1[[Year]:[Salary Cap]],2,FALSE)*100</f>
        <v>15.409139213602552</v>
      </c>
      <c r="M24" t="str">
        <f>_xlfn.IFNA(VLOOKUP(Table2[[#This Row],[Column1]],Table3[[Column1]:[Result]],4,FALSE),"MISSED PLAYOFFS")</f>
        <v>NFC Divisional Loser</v>
      </c>
    </row>
    <row r="25" spans="1:13" x14ac:dyDescent="0.35">
      <c r="A25" t="str">
        <f t="shared" si="0"/>
        <v>14DEN</v>
      </c>
      <c r="B25">
        <v>14</v>
      </c>
      <c r="C25" t="s">
        <v>33</v>
      </c>
      <c r="D25" t="s">
        <v>6</v>
      </c>
      <c r="E25" s="4">
        <v>13.157894736842104</v>
      </c>
      <c r="H25" t="str">
        <f>_xlfn.CONCAT(Table2[[#This Row],[Year]],Table2[[#This Row],[Team]])</f>
        <v>19SEA</v>
      </c>
      <c r="I25">
        <v>19</v>
      </c>
      <c r="J25" t="s">
        <v>13</v>
      </c>
      <c r="K25">
        <v>26.286000000000001</v>
      </c>
      <c r="L25" s="4">
        <f>K25/VLOOKUP(I25,Table1[[Year]:[Salary Cap]],2,FALSE)*100</f>
        <v>13.967056323060575</v>
      </c>
      <c r="M25" t="str">
        <f>_xlfn.IFNA(VLOOKUP(Table2[[#This Row],[Column1]],Table3[[Column1]:[Result]],4,FALSE),"MISSED PLAYOFFS")</f>
        <v>NFC Divisional Loser</v>
      </c>
    </row>
    <row r="26" spans="1:13" x14ac:dyDescent="0.35">
      <c r="A26" t="str">
        <f t="shared" si="0"/>
        <v>14BAL</v>
      </c>
      <c r="B26">
        <v>14</v>
      </c>
      <c r="C26" t="s">
        <v>16</v>
      </c>
      <c r="D26" t="s">
        <v>6</v>
      </c>
      <c r="E26" s="4">
        <v>11.12781954887218</v>
      </c>
      <c r="H26" t="str">
        <f>_xlfn.CONCAT(Table2[[#This Row],[Year]],Table2[[#This Row],[Team]])</f>
        <v>19PIT</v>
      </c>
      <c r="I26">
        <v>19</v>
      </c>
      <c r="J26" t="s">
        <v>27</v>
      </c>
      <c r="K26">
        <v>26.2</v>
      </c>
      <c r="L26" s="4">
        <f>K26/VLOOKUP(I26,Table1[[Year]:[Salary Cap]],2,FALSE)*100</f>
        <v>13.921360255047821</v>
      </c>
      <c r="M26" t="str">
        <f>_xlfn.IFNA(VLOOKUP(Table2[[#This Row],[Column1]],Table3[[Column1]:[Result]],4,FALSE),"MISSED PLAYOFFS")</f>
        <v>MISSED PLAYOFFS</v>
      </c>
    </row>
    <row r="27" spans="1:13" x14ac:dyDescent="0.35">
      <c r="A27" t="str">
        <f t="shared" si="0"/>
        <v>13LAC</v>
      </c>
      <c r="B27">
        <v>13</v>
      </c>
      <c r="C27" t="s">
        <v>23</v>
      </c>
      <c r="D27" t="s">
        <v>6</v>
      </c>
      <c r="E27" s="4">
        <v>11.195121951219512</v>
      </c>
      <c r="H27" t="str">
        <f>_xlfn.CONCAT(Table2[[#This Row],[Year]],Table2[[#This Row],[Team]])</f>
        <v>18SF</v>
      </c>
      <c r="I27">
        <v>18</v>
      </c>
      <c r="J27" t="s">
        <v>10</v>
      </c>
      <c r="K27">
        <v>37</v>
      </c>
      <c r="L27" s="4">
        <f>K27/VLOOKUP(I27,Table1[[Year]:[Salary Cap]],2,FALSE)*100</f>
        <v>20.880361173814897</v>
      </c>
      <c r="M27" t="str">
        <f>_xlfn.IFNA(VLOOKUP(Table2[[#This Row],[Column1]],Table3[[Column1]:[Result]],4,FALSE),"MISSED PLAYOFFS")</f>
        <v>MISSED PLAYOFFS</v>
      </c>
    </row>
    <row r="28" spans="1:13" x14ac:dyDescent="0.35">
      <c r="A28" t="str">
        <f t="shared" si="0"/>
        <v>13IND</v>
      </c>
      <c r="B28">
        <v>13</v>
      </c>
      <c r="C28" t="s">
        <v>22</v>
      </c>
      <c r="D28" t="s">
        <v>6</v>
      </c>
      <c r="E28" s="4">
        <v>4.0650406504065035</v>
      </c>
      <c r="H28" t="str">
        <f>_xlfn.CONCAT(Table2[[#This Row],[Year]],Table2[[#This Row],[Team]])</f>
        <v>18DET</v>
      </c>
      <c r="I28">
        <v>18</v>
      </c>
      <c r="J28" t="s">
        <v>29</v>
      </c>
      <c r="K28">
        <v>26.5</v>
      </c>
      <c r="L28" s="4">
        <f>K28/VLOOKUP(I28,Table1[[Year]:[Salary Cap]],2,FALSE)*100</f>
        <v>14.954853273137699</v>
      </c>
      <c r="M28" t="str">
        <f>_xlfn.IFNA(VLOOKUP(Table2[[#This Row],[Column1]],Table3[[Column1]:[Result]],4,FALSE),"MISSED PLAYOFFS")</f>
        <v>MISSED PLAYOFFS</v>
      </c>
    </row>
    <row r="29" spans="1:13" x14ac:dyDescent="0.35">
      <c r="A29" t="str">
        <f t="shared" si="0"/>
        <v>12DEN</v>
      </c>
      <c r="B29">
        <v>12</v>
      </c>
      <c r="C29" t="s">
        <v>33</v>
      </c>
      <c r="D29" t="s">
        <v>6</v>
      </c>
      <c r="E29" s="4">
        <v>14.962593516209477</v>
      </c>
      <c r="H29" t="str">
        <f>_xlfn.CONCAT(Table2[[#This Row],[Year]],Table2[[#This Row],[Team]])</f>
        <v>18OAK</v>
      </c>
      <c r="I29">
        <v>18</v>
      </c>
      <c r="J29" t="s">
        <v>31</v>
      </c>
      <c r="K29">
        <v>25</v>
      </c>
      <c r="L29" s="4">
        <f>K29/VLOOKUP(I29,Table1[[Year]:[Salary Cap]],2,FALSE)*100</f>
        <v>14.108352144469528</v>
      </c>
      <c r="M29" t="str">
        <f>_xlfn.IFNA(VLOOKUP(Table2[[#This Row],[Column1]],Table3[[Column1]:[Result]],4,FALSE),"MISSED PLAYOFFS")</f>
        <v>MISSED PLAYOFFS</v>
      </c>
    </row>
    <row r="30" spans="1:13" x14ac:dyDescent="0.35">
      <c r="A30" t="str">
        <f t="shared" si="0"/>
        <v>12HOU</v>
      </c>
      <c r="B30">
        <v>12</v>
      </c>
      <c r="C30" t="s">
        <v>15</v>
      </c>
      <c r="D30" t="s">
        <v>6</v>
      </c>
      <c r="E30" s="4">
        <v>9.7256857855361591</v>
      </c>
      <c r="H30" t="str">
        <f>_xlfn.CONCAT(Table2[[#This Row],[Year]],Table2[[#This Row],[Team]])</f>
        <v>18BAL</v>
      </c>
      <c r="I30">
        <v>18</v>
      </c>
      <c r="J30" t="s">
        <v>16</v>
      </c>
      <c r="K30">
        <v>24.75</v>
      </c>
      <c r="L30" s="4">
        <f>K30/VLOOKUP(I30,Table1[[Year]:[Salary Cap]],2,FALSE)*100</f>
        <v>13.967268623024831</v>
      </c>
      <c r="M30" t="str">
        <f>_xlfn.IFNA(VLOOKUP(Table2[[#This Row],[Column1]],Table3[[Column1]:[Result]],4,FALSE),"MISSED PLAYOFFS")</f>
        <v>AFC Wild Card Loser</v>
      </c>
    </row>
    <row r="31" spans="1:13" x14ac:dyDescent="0.35">
      <c r="A31" t="str">
        <f t="shared" si="0"/>
        <v>11HOU</v>
      </c>
      <c r="B31">
        <v>11</v>
      </c>
      <c r="C31" t="s">
        <v>15</v>
      </c>
      <c r="D31" t="s">
        <v>6</v>
      </c>
      <c r="E31" s="4">
        <v>7.5</v>
      </c>
      <c r="H31" t="str">
        <f>_xlfn.CONCAT(Table2[[#This Row],[Year]],Table2[[#This Row],[Team]])</f>
        <v>18IND</v>
      </c>
      <c r="I31">
        <v>18</v>
      </c>
      <c r="J31" t="s">
        <v>22</v>
      </c>
      <c r="K31">
        <v>24.4</v>
      </c>
      <c r="L31" s="4">
        <f>K31/VLOOKUP(I31,Table1[[Year]:[Salary Cap]],2,FALSE)*100</f>
        <v>13.769751693002258</v>
      </c>
      <c r="M31" t="str">
        <f>_xlfn.IFNA(VLOOKUP(Table2[[#This Row],[Column1]],Table3[[Column1]:[Result]],4,FALSE),"MISSED PLAYOFFS")</f>
        <v>AFC Divisional Loser</v>
      </c>
    </row>
    <row r="32" spans="1:13" x14ac:dyDescent="0.35">
      <c r="A32" t="str">
        <f t="shared" si="0"/>
        <v>11DEN</v>
      </c>
      <c r="B32">
        <v>11</v>
      </c>
      <c r="C32" t="s">
        <v>33</v>
      </c>
      <c r="D32" t="s">
        <v>6</v>
      </c>
      <c r="E32" s="4">
        <v>1.6666666666666667</v>
      </c>
      <c r="H32" t="str">
        <f>_xlfn.CONCAT(Table2[[#This Row],[Year]],Table2[[#This Row],[Team]])</f>
        <v>17BAL</v>
      </c>
      <c r="I32">
        <v>17</v>
      </c>
      <c r="J32" t="s">
        <v>16</v>
      </c>
      <c r="K32">
        <v>24.55</v>
      </c>
      <c r="L32" s="4">
        <f>K32/VLOOKUP(I32,Table1[[Year]:[Salary Cap]],2,FALSE)*100</f>
        <v>14.700598802395209</v>
      </c>
      <c r="M32" t="str">
        <f>_xlfn.IFNA(VLOOKUP(Table2[[#This Row],[Column1]],Table3[[Column1]:[Result]],4,FALSE),"MISSED PLAYOFFS")</f>
        <v>MISSED PLAYOFFS</v>
      </c>
    </row>
    <row r="33" spans="1:13" x14ac:dyDescent="0.35">
      <c r="A33" t="str">
        <f t="shared" si="0"/>
        <v>10BAL</v>
      </c>
      <c r="B33">
        <v>10</v>
      </c>
      <c r="C33" t="s">
        <v>16</v>
      </c>
      <c r="D33" t="s">
        <v>6</v>
      </c>
      <c r="E33" s="4"/>
      <c r="H33" t="str">
        <f>_xlfn.CONCAT(Table2[[#This Row],[Year]],Table2[[#This Row],[Team]])</f>
        <v>17ARI</v>
      </c>
      <c r="I33">
        <v>17</v>
      </c>
      <c r="J33" t="s">
        <v>34</v>
      </c>
      <c r="K33">
        <v>24.125</v>
      </c>
      <c r="L33" s="4">
        <f>K33/VLOOKUP(I33,Table1[[Year]:[Salary Cap]],2,FALSE)*100</f>
        <v>14.446107784431137</v>
      </c>
      <c r="M33" t="str">
        <f>_xlfn.IFNA(VLOOKUP(Table2[[#This Row],[Column1]],Table3[[Column1]:[Result]],4,FALSE),"MISSED PLAYOFFS")</f>
        <v>MISSED PLAYOFFS</v>
      </c>
    </row>
    <row r="34" spans="1:13" x14ac:dyDescent="0.35">
      <c r="A34" t="str">
        <f t="shared" ref="A34:A65" si="2">_xlfn.CONCAT(B34,C34)</f>
        <v>10NE</v>
      </c>
      <c r="B34">
        <v>10</v>
      </c>
      <c r="C34" t="s">
        <v>20</v>
      </c>
      <c r="D34" t="s">
        <v>6</v>
      </c>
      <c r="E34" s="4"/>
      <c r="H34" t="str">
        <f>_xlfn.CONCAT(Table2[[#This Row],[Year]],Table2[[#This Row],[Team]])</f>
        <v>17WAS</v>
      </c>
      <c r="I34">
        <v>17</v>
      </c>
      <c r="J34" t="s">
        <v>35</v>
      </c>
      <c r="K34">
        <v>23.943000000000001</v>
      </c>
      <c r="L34" s="4">
        <f>K34/VLOOKUP(I34,Table1[[Year]:[Salary Cap]],2,FALSE)*100</f>
        <v>14.337125748502993</v>
      </c>
      <c r="M34" t="str">
        <f>_xlfn.IFNA(VLOOKUP(Table2[[#This Row],[Column1]],Table3[[Column1]:[Result]],4,FALSE),"MISSED PLAYOFFS")</f>
        <v>MISSED PLAYOFFS</v>
      </c>
    </row>
    <row r="35" spans="1:13" x14ac:dyDescent="0.35">
      <c r="A35" t="str">
        <f t="shared" si="2"/>
        <v>20PIT</v>
      </c>
      <c r="B35">
        <v>20</v>
      </c>
      <c r="C35" t="s">
        <v>27</v>
      </c>
      <c r="D35" t="s">
        <v>8</v>
      </c>
      <c r="E35">
        <v>11.83</v>
      </c>
      <c r="H35" t="str">
        <f>_xlfn.CONCAT(Table2[[#This Row],[Year]],Table2[[#This Row],[Team]])</f>
        <v>17ATL</v>
      </c>
      <c r="I35">
        <v>17</v>
      </c>
      <c r="J35" t="s">
        <v>26</v>
      </c>
      <c r="K35">
        <v>23.75</v>
      </c>
      <c r="L35" s="4">
        <f>K35/VLOOKUP(I35,Table1[[Year]:[Salary Cap]],2,FALSE)*100</f>
        <v>14.221556886227546</v>
      </c>
      <c r="M35" t="str">
        <f>_xlfn.IFNA(VLOOKUP(Table2[[#This Row],[Column1]],Table3[[Column1]:[Result]],4,FALSE),"MISSED PLAYOFFS")</f>
        <v>NFC Divisional Loser</v>
      </c>
    </row>
    <row r="36" spans="1:13" x14ac:dyDescent="0.35">
      <c r="A36" t="str">
        <f t="shared" si="2"/>
        <v>20IND</v>
      </c>
      <c r="B36">
        <v>20</v>
      </c>
      <c r="C36" t="s">
        <v>22</v>
      </c>
      <c r="D36" t="s">
        <v>8</v>
      </c>
      <c r="E36">
        <v>10.42</v>
      </c>
      <c r="H36" t="str">
        <f>_xlfn.CONCAT(Table2[[#This Row],[Year]],Table2[[#This Row],[Team]])</f>
        <v>17MIA</v>
      </c>
      <c r="I36">
        <v>17</v>
      </c>
      <c r="J36" t="s">
        <v>32</v>
      </c>
      <c r="K36">
        <v>20.3</v>
      </c>
      <c r="L36" s="4">
        <f>K36/VLOOKUP(I36,Table1[[Year]:[Salary Cap]],2,FALSE)*100</f>
        <v>12.155688622754491</v>
      </c>
      <c r="M36" t="str">
        <f>_xlfn.IFNA(VLOOKUP(Table2[[#This Row],[Column1]],Table3[[Column1]:[Result]],4,FALSE),"MISSED PLAYOFFS")</f>
        <v>MISSED PLAYOFFS</v>
      </c>
    </row>
    <row r="37" spans="1:13" x14ac:dyDescent="0.35">
      <c r="A37" t="str">
        <f t="shared" si="2"/>
        <v>20TEN</v>
      </c>
      <c r="B37">
        <v>20</v>
      </c>
      <c r="C37" t="s">
        <v>12</v>
      </c>
      <c r="D37" t="s">
        <v>8</v>
      </c>
      <c r="E37">
        <v>10.210000000000001</v>
      </c>
      <c r="H37" t="str">
        <f>_xlfn.CONCAT(Table2[[#This Row],[Year]],Table2[[#This Row],[Team]])</f>
        <v>16NYG</v>
      </c>
      <c r="I37">
        <v>16</v>
      </c>
      <c r="J37" t="s">
        <v>30</v>
      </c>
      <c r="K37">
        <v>24.2</v>
      </c>
      <c r="L37" s="4">
        <f>K37/VLOOKUP(I37,Table1[[Year]:[Salary Cap]],2,FALSE)*100</f>
        <v>15.585753848135505</v>
      </c>
      <c r="M37" t="str">
        <f>_xlfn.IFNA(VLOOKUP(Table2[[#This Row],[Column1]],Table3[[Column1]:[Result]],4,FALSE),"MISSED PLAYOFFS")</f>
        <v>NFC Wild Card Loser</v>
      </c>
    </row>
    <row r="38" spans="1:13" x14ac:dyDescent="0.35">
      <c r="A38" t="str">
        <f t="shared" si="2"/>
        <v>19NE</v>
      </c>
      <c r="B38">
        <v>19</v>
      </c>
      <c r="C38" t="s">
        <v>20</v>
      </c>
      <c r="D38" t="s">
        <v>8</v>
      </c>
      <c r="E38">
        <v>10.73</v>
      </c>
      <c r="H38" t="str">
        <f>_xlfn.CONCAT(Table2[[#This Row],[Year]],Table2[[#This Row],[Team]])</f>
        <v>16PIT</v>
      </c>
      <c r="I38">
        <v>16</v>
      </c>
      <c r="J38" t="s">
        <v>27</v>
      </c>
      <c r="K38">
        <v>23.95</v>
      </c>
      <c r="L38" s="4">
        <f>K38/VLOOKUP(I38,Table1[[Year]:[Salary Cap]],2,FALSE)*100</f>
        <v>15.424743994332452</v>
      </c>
      <c r="M38" t="str">
        <f>_xlfn.IFNA(VLOOKUP(Table2[[#This Row],[Column1]],Table3[[Column1]:[Result]],4,FALSE),"MISSED PLAYOFFS")</f>
        <v>AFC Champ Loser</v>
      </c>
    </row>
    <row r="39" spans="1:13" x14ac:dyDescent="0.35">
      <c r="A39" t="str">
        <f t="shared" si="2"/>
        <v>19BUF</v>
      </c>
      <c r="B39">
        <v>19</v>
      </c>
      <c r="C39" t="s">
        <v>19</v>
      </c>
      <c r="D39" t="s">
        <v>8</v>
      </c>
      <c r="E39">
        <v>2.4</v>
      </c>
      <c r="H39" t="str">
        <f>_xlfn.CONCAT(Table2[[#This Row],[Year]],Table2[[#This Row],[Team]])</f>
        <v>16ATL</v>
      </c>
      <c r="I39">
        <v>16</v>
      </c>
      <c r="J39" t="s">
        <v>26</v>
      </c>
      <c r="K39">
        <v>23.75</v>
      </c>
      <c r="L39" s="4">
        <f>K39/VLOOKUP(I39,Table1[[Year]:[Salary Cap]],2,FALSE)*100</f>
        <v>15.295936111290009</v>
      </c>
      <c r="M39" t="str">
        <f>_xlfn.IFNA(VLOOKUP(Table2[[#This Row],[Column1]],Table3[[Column1]:[Result]],4,FALSE),"MISSED PLAYOFFS")</f>
        <v>Superbowl Loser</v>
      </c>
    </row>
    <row r="40" spans="1:13" x14ac:dyDescent="0.35">
      <c r="A40" t="str">
        <f t="shared" si="2"/>
        <v>18BAL</v>
      </c>
      <c r="B40">
        <v>18</v>
      </c>
      <c r="C40" t="s">
        <v>16</v>
      </c>
      <c r="D40" t="s">
        <v>8</v>
      </c>
      <c r="E40">
        <v>15.28</v>
      </c>
      <c r="H40" t="str">
        <f>_xlfn.CONCAT(Table2[[#This Row],[Year]],Table2[[#This Row],[Team]])</f>
        <v>16BAL</v>
      </c>
      <c r="I40">
        <v>16</v>
      </c>
      <c r="J40" t="s">
        <v>16</v>
      </c>
      <c r="K40">
        <v>22.55</v>
      </c>
      <c r="L40" s="4">
        <f>K40/VLOOKUP(I40,Table1[[Year]:[Salary Cap]],2,FALSE)*100</f>
        <v>14.523088813035356</v>
      </c>
      <c r="M40" t="str">
        <f>_xlfn.IFNA(VLOOKUP(Table2[[#This Row],[Column1]],Table3[[Column1]:[Result]],4,FALSE),"MISSED PLAYOFFS")</f>
        <v>MISSED PLAYOFFS</v>
      </c>
    </row>
    <row r="41" spans="1:13" x14ac:dyDescent="0.35">
      <c r="A41" t="str">
        <f t="shared" si="2"/>
        <v>18HOU</v>
      </c>
      <c r="B41">
        <v>18</v>
      </c>
      <c r="C41" t="s">
        <v>15</v>
      </c>
      <c r="D41" t="s">
        <v>8</v>
      </c>
      <c r="E41">
        <v>2.4</v>
      </c>
      <c r="H41" t="str">
        <f>_xlfn.CONCAT(Table2[[#This Row],[Year]],Table2[[#This Row],[Team]])</f>
        <v>16DET</v>
      </c>
      <c r="I41">
        <v>16</v>
      </c>
      <c r="J41" t="s">
        <v>29</v>
      </c>
      <c r="K41">
        <v>22.5</v>
      </c>
      <c r="L41" s="4">
        <f>K41/VLOOKUP(I41,Table1[[Year]:[Salary Cap]],2,FALSE)*100</f>
        <v>14.490886842274747</v>
      </c>
      <c r="M41" t="str">
        <f>_xlfn.IFNA(VLOOKUP(Table2[[#This Row],[Column1]],Table3[[Column1]:[Result]],4,FALSE),"MISSED PLAYOFFS")</f>
        <v>NFC Wild Card Loser</v>
      </c>
    </row>
    <row r="42" spans="1:13" x14ac:dyDescent="0.35">
      <c r="A42" t="str">
        <f t="shared" si="2"/>
        <v>17KC</v>
      </c>
      <c r="B42">
        <v>17</v>
      </c>
      <c r="C42" t="s">
        <v>9</v>
      </c>
      <c r="D42" t="s">
        <v>8</v>
      </c>
      <c r="E42" s="4">
        <v>10.119760479041915</v>
      </c>
      <c r="H42" t="str">
        <f>_xlfn.CONCAT(Table2[[#This Row],[Year]],Table2[[#This Row],[Team]])</f>
        <v>15NO</v>
      </c>
      <c r="I42">
        <v>15</v>
      </c>
      <c r="J42" t="s">
        <v>18</v>
      </c>
      <c r="K42">
        <v>23.8</v>
      </c>
      <c r="L42" s="4">
        <f>K42/VLOOKUP(I42,Table1[[Year]:[Salary Cap]],2,FALSE)*100</f>
        <v>16.610831937465104</v>
      </c>
      <c r="M42" t="str">
        <f>_xlfn.IFNA(VLOOKUP(Table2[[#This Row],[Column1]],Table3[[Column1]:[Result]],4,FALSE),"MISSED PLAYOFFS")</f>
        <v>MISSED PLAYOFFS</v>
      </c>
    </row>
    <row r="43" spans="1:13" x14ac:dyDescent="0.35">
      <c r="A43" t="str">
        <f t="shared" si="2"/>
        <v>17BUF</v>
      </c>
      <c r="B43">
        <v>17</v>
      </c>
      <c r="C43" t="s">
        <v>19</v>
      </c>
      <c r="D43" t="s">
        <v>8</v>
      </c>
      <c r="E43" s="4">
        <v>5.8161676646706582</v>
      </c>
      <c r="H43" t="str">
        <f>_xlfn.CONCAT(Table2[[#This Row],[Year]],Table2[[#This Row],[Team]])</f>
        <v>15LAC</v>
      </c>
      <c r="I43">
        <v>15</v>
      </c>
      <c r="J43" t="s">
        <v>23</v>
      </c>
      <c r="K43">
        <v>21.166</v>
      </c>
      <c r="L43" s="4">
        <f>K43/VLOOKUP(I43,Table1[[Year]:[Salary Cap]],2,FALSE)*100</f>
        <v>14.772473478503628</v>
      </c>
      <c r="M43" t="str">
        <f>_xlfn.IFNA(VLOOKUP(Table2[[#This Row],[Column1]],Table3[[Column1]:[Result]],4,FALSE),"MISSED PLAYOFFS")</f>
        <v>MISSED PLAYOFFS</v>
      </c>
    </row>
    <row r="44" spans="1:13" x14ac:dyDescent="0.35">
      <c r="A44" t="str">
        <f t="shared" si="2"/>
        <v>16MIA</v>
      </c>
      <c r="B44">
        <v>16</v>
      </c>
      <c r="C44" t="s">
        <v>32</v>
      </c>
      <c r="D44" t="s">
        <v>8</v>
      </c>
      <c r="E44" s="4">
        <v>7.4966187930701356</v>
      </c>
      <c r="H44" t="str">
        <f>_xlfn.CONCAT(Table2[[#This Row],[Year]],Table2[[#This Row],[Team]])</f>
        <v>15ATL</v>
      </c>
      <c r="I44">
        <v>15</v>
      </c>
      <c r="J44" t="s">
        <v>26</v>
      </c>
      <c r="K44">
        <v>19.5</v>
      </c>
      <c r="L44" s="4">
        <f>K44/VLOOKUP(I44,Table1[[Year]:[Salary Cap]],2,FALSE)*100</f>
        <v>13.609715242881071</v>
      </c>
      <c r="M44" t="str">
        <f>_xlfn.IFNA(VLOOKUP(Table2[[#This Row],[Column1]],Table3[[Column1]:[Result]],4,FALSE),"MISSED PLAYOFFS")</f>
        <v>MISSED PLAYOFFS</v>
      </c>
    </row>
    <row r="45" spans="1:13" x14ac:dyDescent="0.35">
      <c r="A45" t="str">
        <f t="shared" si="2"/>
        <v>16OAK</v>
      </c>
      <c r="B45">
        <v>16</v>
      </c>
      <c r="C45" t="s">
        <v>31</v>
      </c>
      <c r="D45" t="s">
        <v>8</v>
      </c>
      <c r="E45" s="4">
        <v>1.6423005087911378</v>
      </c>
      <c r="H45" t="str">
        <f>_xlfn.CONCAT(Table2[[#This Row],[Year]],Table2[[#This Row],[Team]])</f>
        <v>15GB</v>
      </c>
      <c r="I45">
        <v>15</v>
      </c>
      <c r="J45" t="s">
        <v>11</v>
      </c>
      <c r="K45">
        <v>18.25</v>
      </c>
      <c r="L45" s="4">
        <f>K45/VLOOKUP(I45,Table1[[Year]:[Salary Cap]],2,FALSE)*100</f>
        <v>12.737297599106645</v>
      </c>
      <c r="M45" t="str">
        <f>_xlfn.IFNA(VLOOKUP(Table2[[#This Row],[Column1]],Table3[[Column1]:[Result]],4,FALSE),"MISSED PLAYOFFS")</f>
        <v>NFC Divisional Loser</v>
      </c>
    </row>
    <row r="46" spans="1:13" x14ac:dyDescent="0.35">
      <c r="A46" t="str">
        <f t="shared" si="2"/>
        <v>15CIN</v>
      </c>
      <c r="B46">
        <v>15</v>
      </c>
      <c r="C46" t="s">
        <v>36</v>
      </c>
      <c r="D46" t="s">
        <v>8</v>
      </c>
      <c r="E46" s="4">
        <v>6.7001675041876041</v>
      </c>
      <c r="H46" t="str">
        <f>_xlfn.CONCAT(Table2[[#This Row],[Year]],Table2[[#This Row],[Team]])</f>
        <v>15DET</v>
      </c>
      <c r="I46">
        <v>15</v>
      </c>
      <c r="J46" t="s">
        <v>29</v>
      </c>
      <c r="K46">
        <v>17.721</v>
      </c>
      <c r="L46" s="4">
        <f>K46/VLOOKUP(I46,Table1[[Year]:[Salary Cap]],2,FALSE)*100</f>
        <v>12.368090452261306</v>
      </c>
      <c r="M46" t="str">
        <f>_xlfn.IFNA(VLOOKUP(Table2[[#This Row],[Column1]],Table3[[Column1]:[Result]],4,FALSE),"MISSED PLAYOFFS")</f>
        <v>MISSED PLAYOFFS</v>
      </c>
    </row>
    <row r="47" spans="1:13" x14ac:dyDescent="0.35">
      <c r="A47" t="str">
        <f t="shared" si="2"/>
        <v>15HOU</v>
      </c>
      <c r="B47">
        <v>15</v>
      </c>
      <c r="C47" t="s">
        <v>15</v>
      </c>
      <c r="D47" t="s">
        <v>8</v>
      </c>
      <c r="E47" s="4">
        <v>3.6418202121719707</v>
      </c>
      <c r="H47" t="str">
        <f>_xlfn.CONCAT(Table2[[#This Row],[Year]],Table2[[#This Row],[Team]])</f>
        <v>14NYG</v>
      </c>
      <c r="I47">
        <v>14</v>
      </c>
      <c r="J47" t="s">
        <v>30</v>
      </c>
      <c r="K47">
        <v>20.399999999999999</v>
      </c>
      <c r="L47" s="4">
        <f>K47/VLOOKUP(I47,Table1[[Year]:[Salary Cap]],2,FALSE)*100</f>
        <v>15.338345864661655</v>
      </c>
      <c r="M47" t="str">
        <f>_xlfn.IFNA(VLOOKUP(Table2[[#This Row],[Column1]],Table3[[Column1]:[Result]],4,FALSE),"MISSED PLAYOFFS")</f>
        <v>MISSED PLAYOFFS</v>
      </c>
    </row>
    <row r="48" spans="1:13" x14ac:dyDescent="0.35">
      <c r="A48" t="str">
        <f t="shared" si="2"/>
        <v>14PIT</v>
      </c>
      <c r="B48">
        <v>14</v>
      </c>
      <c r="C48" t="s">
        <v>27</v>
      </c>
      <c r="D48" t="s">
        <v>8</v>
      </c>
      <c r="E48" s="4">
        <v>14.206766917293232</v>
      </c>
      <c r="H48" t="str">
        <f>_xlfn.CONCAT(Table2[[#This Row],[Year]],Table2[[#This Row],[Team]])</f>
        <v>14PIT</v>
      </c>
      <c r="I48">
        <v>14</v>
      </c>
      <c r="J48" t="s">
        <v>27</v>
      </c>
      <c r="K48">
        <v>18.895</v>
      </c>
      <c r="L48" s="4">
        <f>K48/VLOOKUP(I48,Table1[[Year]:[Salary Cap]],2,FALSE)*100</f>
        <v>14.206766917293232</v>
      </c>
      <c r="M48" t="str">
        <f>_xlfn.IFNA(VLOOKUP(Table2[[#This Row],[Column1]],Table3[[Column1]:[Result]],4,FALSE),"MISSED PLAYOFFS")</f>
        <v>AFC Wild Card Loser</v>
      </c>
    </row>
    <row r="49" spans="1:13" x14ac:dyDescent="0.35">
      <c r="A49" t="str">
        <f t="shared" si="2"/>
        <v>14CIN</v>
      </c>
      <c r="B49">
        <v>14</v>
      </c>
      <c r="C49" t="s">
        <v>36</v>
      </c>
      <c r="D49" t="s">
        <v>8</v>
      </c>
      <c r="E49" s="4">
        <v>6.7669172932330826</v>
      </c>
      <c r="H49" t="str">
        <f>_xlfn.CONCAT(Table2[[#This Row],[Year]],Table2[[#This Row],[Team]])</f>
        <v>14CHI</v>
      </c>
      <c r="I49">
        <v>14</v>
      </c>
      <c r="J49" t="s">
        <v>24</v>
      </c>
      <c r="K49">
        <v>18.5</v>
      </c>
      <c r="L49" s="4">
        <f>K49/VLOOKUP(I49,Table1[[Year]:[Salary Cap]],2,FALSE)*100</f>
        <v>13.909774436090224</v>
      </c>
      <c r="M49" t="str">
        <f>_xlfn.IFNA(VLOOKUP(Table2[[#This Row],[Column1]],Table3[[Column1]:[Result]],4,FALSE),"MISSED PLAYOFFS")</f>
        <v>MISSED PLAYOFFS</v>
      </c>
    </row>
    <row r="50" spans="1:13" x14ac:dyDescent="0.35">
      <c r="A50" t="str">
        <f t="shared" si="2"/>
        <v>13KC</v>
      </c>
      <c r="B50">
        <v>13</v>
      </c>
      <c r="C50" t="s">
        <v>9</v>
      </c>
      <c r="D50" t="s">
        <v>8</v>
      </c>
      <c r="E50" s="4">
        <v>6.9105691056910574</v>
      </c>
      <c r="H50" t="str">
        <f>_xlfn.CONCAT(Table2[[#This Row],[Year]],Table2[[#This Row],[Team]])</f>
        <v>14NO</v>
      </c>
      <c r="I50">
        <v>14</v>
      </c>
      <c r="J50" t="s">
        <v>18</v>
      </c>
      <c r="K50">
        <v>18.399999999999999</v>
      </c>
      <c r="L50" s="4">
        <f>K50/VLOOKUP(I50,Table1[[Year]:[Salary Cap]],2,FALSE)*100</f>
        <v>13.834586466165414</v>
      </c>
      <c r="M50" t="str">
        <f>_xlfn.IFNA(VLOOKUP(Table2[[#This Row],[Column1]],Table3[[Column1]:[Result]],4,FALSE),"MISSED PLAYOFFS")</f>
        <v>MISSED PLAYOFFS</v>
      </c>
    </row>
    <row r="51" spans="1:13" x14ac:dyDescent="0.35">
      <c r="A51" t="str">
        <f t="shared" si="2"/>
        <v>13CIN</v>
      </c>
      <c r="B51">
        <v>13</v>
      </c>
      <c r="C51" t="s">
        <v>36</v>
      </c>
      <c r="D51" t="s">
        <v>8</v>
      </c>
      <c r="E51" s="4">
        <v>1.154471544715447</v>
      </c>
      <c r="H51" t="str">
        <f>_xlfn.CONCAT(Table2[[#This Row],[Year]],Table2[[#This Row],[Team]])</f>
        <v>14LAR</v>
      </c>
      <c r="I51">
        <v>14</v>
      </c>
      <c r="J51" t="s">
        <v>44</v>
      </c>
      <c r="K51">
        <v>17.61</v>
      </c>
      <c r="L51" s="4">
        <f>K51/VLOOKUP(I51,Table1[[Year]:[Salary Cap]],2,FALSE)*100</f>
        <v>13.240601503759397</v>
      </c>
      <c r="M51" t="str">
        <f>_xlfn.IFNA(VLOOKUP(Table2[[#This Row],[Column1]],Table3[[Column1]:[Result]],4,FALSE),"MISSED PLAYOFFS")</f>
        <v>MISSED PLAYOFFS</v>
      </c>
    </row>
    <row r="52" spans="1:13" x14ac:dyDescent="0.35">
      <c r="A52" t="str">
        <f t="shared" si="2"/>
        <v>12IND</v>
      </c>
      <c r="B52">
        <v>12</v>
      </c>
      <c r="C52" t="s">
        <v>22</v>
      </c>
      <c r="D52" t="s">
        <v>8</v>
      </c>
      <c r="E52" s="4">
        <v>3.3250207813798838</v>
      </c>
      <c r="H52" t="str">
        <f>_xlfn.CONCAT(Table2[[#This Row],[Year]],Table2[[#This Row],[Team]])</f>
        <v>13NYG</v>
      </c>
      <c r="I52">
        <v>13</v>
      </c>
      <c r="J52" t="s">
        <v>30</v>
      </c>
      <c r="K52">
        <v>20.85</v>
      </c>
      <c r="L52" s="4">
        <f>K52/VLOOKUP(I52,Table1[[Year]:[Salary Cap]],2,FALSE)*100</f>
        <v>16.951219512195124</v>
      </c>
      <c r="M52" t="str">
        <f>_xlfn.IFNA(VLOOKUP(Table2[[#This Row],[Column1]],Table3[[Column1]:[Result]],4,FALSE),"MISSED PLAYOFFS")</f>
        <v>MISSED PLAYOFFS</v>
      </c>
    </row>
    <row r="53" spans="1:13" x14ac:dyDescent="0.35">
      <c r="A53" t="str">
        <f t="shared" si="2"/>
        <v>12CIN</v>
      </c>
      <c r="B53">
        <v>12</v>
      </c>
      <c r="C53" t="s">
        <v>36</v>
      </c>
      <c r="D53" t="s">
        <v>8</v>
      </c>
      <c r="E53" s="4">
        <v>0.98503740648379057</v>
      </c>
      <c r="H53" t="str">
        <f>_xlfn.CONCAT(Table2[[#This Row],[Year]],Table2[[#This Row],[Team]])</f>
        <v>13DET</v>
      </c>
      <c r="I53">
        <v>13</v>
      </c>
      <c r="J53" t="s">
        <v>29</v>
      </c>
      <c r="K53">
        <v>17.82</v>
      </c>
      <c r="L53" s="4">
        <f>K53/VLOOKUP(I53,Table1[[Year]:[Salary Cap]],2,FALSE)*100</f>
        <v>14.487804878048779</v>
      </c>
      <c r="M53" t="str">
        <f>_xlfn.IFNA(VLOOKUP(Table2[[#This Row],[Column1]],Table3[[Column1]:[Result]],4,FALSE),"MISSED PLAYOFFS")</f>
        <v>MISSED PLAYOFFS</v>
      </c>
    </row>
    <row r="54" spans="1:13" x14ac:dyDescent="0.35">
      <c r="A54" t="str">
        <f t="shared" si="2"/>
        <v>11PIT</v>
      </c>
      <c r="B54">
        <v>11</v>
      </c>
      <c r="C54" t="s">
        <v>27</v>
      </c>
      <c r="D54" t="s">
        <v>8</v>
      </c>
      <c r="E54" s="4">
        <v>9.4333333333333336</v>
      </c>
      <c r="H54" t="str">
        <f>_xlfn.CONCAT(Table2[[#This Row],[Year]],Table2[[#This Row],[Team]])</f>
        <v>13DEN</v>
      </c>
      <c r="I54">
        <v>13</v>
      </c>
      <c r="J54" t="s">
        <v>33</v>
      </c>
      <c r="K54">
        <v>17.5</v>
      </c>
      <c r="L54" s="4">
        <f>K54/VLOOKUP(I54,Table1[[Year]:[Salary Cap]],2,FALSE)*100</f>
        <v>14.227642276422763</v>
      </c>
      <c r="M54" t="str">
        <f>_xlfn.IFNA(VLOOKUP(Table2[[#This Row],[Column1]],Table3[[Column1]:[Result]],4,FALSE),"MISSED PLAYOFFS")</f>
        <v>Superbowl Loser</v>
      </c>
    </row>
    <row r="55" spans="1:13" x14ac:dyDescent="0.35">
      <c r="A55" t="str">
        <f t="shared" si="2"/>
        <v>11CIN</v>
      </c>
      <c r="B55">
        <v>11</v>
      </c>
      <c r="C55" t="s">
        <v>36</v>
      </c>
      <c r="D55" t="s">
        <v>8</v>
      </c>
      <c r="E55" s="4">
        <v>0.78999999999999992</v>
      </c>
      <c r="H55" t="str">
        <f>_xlfn.CONCAT(Table2[[#This Row],[Year]],Table2[[#This Row],[Team]])</f>
        <v>13NO</v>
      </c>
      <c r="I55">
        <v>13</v>
      </c>
      <c r="J55" t="s">
        <v>18</v>
      </c>
      <c r="K55">
        <v>17.399999999999999</v>
      </c>
      <c r="L55" s="4">
        <f>K55/VLOOKUP(I55,Table1[[Year]:[Salary Cap]],2,FALSE)*100</f>
        <v>14.146341463414632</v>
      </c>
      <c r="M55" t="str">
        <f>_xlfn.IFNA(VLOOKUP(Table2[[#This Row],[Column1]],Table3[[Column1]:[Result]],4,FALSE),"MISSED PLAYOFFS")</f>
        <v>NFC Divisional Loser</v>
      </c>
    </row>
    <row r="56" spans="1:13" x14ac:dyDescent="0.35">
      <c r="A56" t="str">
        <f t="shared" si="2"/>
        <v>10IND</v>
      </c>
      <c r="B56">
        <v>10</v>
      </c>
      <c r="C56" t="s">
        <v>22</v>
      </c>
      <c r="D56" t="s">
        <v>8</v>
      </c>
      <c r="E56" s="4"/>
      <c r="H56" t="str">
        <f>_xlfn.CONCAT(Table2[[#This Row],[Year]],Table2[[#This Row],[Team]])</f>
        <v>13NE</v>
      </c>
      <c r="I56">
        <v>13</v>
      </c>
      <c r="J56" t="s">
        <v>20</v>
      </c>
      <c r="K56">
        <v>13.8</v>
      </c>
      <c r="L56" s="4">
        <f>K56/VLOOKUP(I56,Table1[[Year]:[Salary Cap]],2,FALSE)*100</f>
        <v>11.219512195121952</v>
      </c>
      <c r="M56" t="str">
        <f>_xlfn.IFNA(VLOOKUP(Table2[[#This Row],[Column1]],Table3[[Column1]:[Result]],4,FALSE),"MISSED PLAYOFFS")</f>
        <v>AFC Champ Loser</v>
      </c>
    </row>
    <row r="57" spans="1:13" x14ac:dyDescent="0.35">
      <c r="A57" t="str">
        <f t="shared" si="2"/>
        <v>10KC</v>
      </c>
      <c r="B57">
        <v>10</v>
      </c>
      <c r="C57" t="s">
        <v>9</v>
      </c>
      <c r="D57" t="s">
        <v>8</v>
      </c>
      <c r="E57" s="4"/>
      <c r="H57" t="str">
        <f>_xlfn.CONCAT(Table2[[#This Row],[Year]],Table2[[#This Row],[Team]])</f>
        <v>12DEN</v>
      </c>
      <c r="I57">
        <v>12</v>
      </c>
      <c r="J57" t="s">
        <v>33</v>
      </c>
      <c r="K57">
        <v>18</v>
      </c>
      <c r="L57" s="4">
        <f>K57/VLOOKUP(I57,Table1[[Year]:[Salary Cap]],2,FALSE)*100</f>
        <v>14.962593516209477</v>
      </c>
      <c r="M57" t="str">
        <f>_xlfn.IFNA(VLOOKUP(Table2[[#This Row],[Column1]],Table3[[Column1]:[Result]],4,FALSE),"MISSED PLAYOFFS")</f>
        <v>AFC Divisional Loser</v>
      </c>
    </row>
    <row r="58" spans="1:13" x14ac:dyDescent="0.35">
      <c r="A58" t="str">
        <f t="shared" si="2"/>
        <v>20GB</v>
      </c>
      <c r="B58">
        <v>20</v>
      </c>
      <c r="C58" t="s">
        <v>11</v>
      </c>
      <c r="D58" t="s">
        <v>3</v>
      </c>
      <c r="E58">
        <v>10.61</v>
      </c>
      <c r="H58" t="str">
        <f>_xlfn.CONCAT(Table2[[#This Row],[Year]],Table2[[#This Row],[Team]])</f>
        <v>12LAR</v>
      </c>
      <c r="I58">
        <v>12</v>
      </c>
      <c r="J58" t="s">
        <v>44</v>
      </c>
      <c r="K58">
        <v>15.595000000000001</v>
      </c>
      <c r="L58" s="4">
        <f>K58/VLOOKUP(I58,Table1[[Year]:[Salary Cap]],2,FALSE)*100</f>
        <v>12.963424771404823</v>
      </c>
      <c r="M58" t="str">
        <f>_xlfn.IFNA(VLOOKUP(Table2[[#This Row],[Column1]],Table3[[Column1]:[Result]],4,FALSE),"MISSED PLAYOFFS")</f>
        <v>MISSED PLAYOFFS</v>
      </c>
    </row>
    <row r="59" spans="1:13" x14ac:dyDescent="0.35">
      <c r="A59" t="str">
        <f t="shared" si="2"/>
        <v>19GB</v>
      </c>
      <c r="B59">
        <v>19</v>
      </c>
      <c r="C59" t="s">
        <v>11</v>
      </c>
      <c r="D59" t="s">
        <v>3</v>
      </c>
      <c r="E59">
        <v>15.06</v>
      </c>
      <c r="H59" t="str">
        <f>_xlfn.CONCAT(Table2[[#This Row],[Year]],Table2[[#This Row],[Team]])</f>
        <v>12LAC</v>
      </c>
      <c r="I59">
        <v>12</v>
      </c>
      <c r="J59" t="s">
        <v>23</v>
      </c>
      <c r="K59">
        <v>15.31</v>
      </c>
      <c r="L59" s="4">
        <f>K59/VLOOKUP(I59,Table1[[Year]:[Salary Cap]],2,FALSE)*100</f>
        <v>12.726517040731505</v>
      </c>
      <c r="M59" t="str">
        <f>_xlfn.IFNA(VLOOKUP(Table2[[#This Row],[Column1]],Table3[[Column1]:[Result]],4,FALSE),"MISSED PLAYOFFS")</f>
        <v>MISSED PLAYOFFS</v>
      </c>
    </row>
    <row r="60" spans="1:13" x14ac:dyDescent="0.35">
      <c r="A60" t="str">
        <f t="shared" si="2"/>
        <v>18NO</v>
      </c>
      <c r="B60">
        <v>18</v>
      </c>
      <c r="C60" t="s">
        <v>18</v>
      </c>
      <c r="D60" t="s">
        <v>3</v>
      </c>
      <c r="E60">
        <v>13.52</v>
      </c>
      <c r="H60" t="str">
        <f>_xlfn.CONCAT(Table2[[#This Row],[Year]],Table2[[#This Row],[Team]])</f>
        <v>12PHI</v>
      </c>
      <c r="I60">
        <v>12</v>
      </c>
      <c r="J60" t="s">
        <v>17</v>
      </c>
      <c r="K60">
        <v>13.9</v>
      </c>
      <c r="L60" s="4">
        <f>K60/VLOOKUP(I60,Table1[[Year]:[Salary Cap]],2,FALSE)*100</f>
        <v>11.554447215295097</v>
      </c>
      <c r="M60" t="str">
        <f>_xlfn.IFNA(VLOOKUP(Table2[[#This Row],[Column1]],Table3[[Column1]:[Result]],4,FALSE),"MISSED PLAYOFFS")</f>
        <v>MISSED PLAYOFFS</v>
      </c>
    </row>
    <row r="61" spans="1:13" x14ac:dyDescent="0.35">
      <c r="A61" t="str">
        <f t="shared" si="2"/>
        <v>17MIN</v>
      </c>
      <c r="B61">
        <v>17</v>
      </c>
      <c r="C61" t="s">
        <v>14</v>
      </c>
      <c r="D61" t="s">
        <v>3</v>
      </c>
      <c r="E61" s="4">
        <v>10.778443113772456</v>
      </c>
      <c r="H61" t="str">
        <f>_xlfn.CONCAT(Table2[[#This Row],[Year]],Table2[[#This Row],[Team]])</f>
        <v>12ATL</v>
      </c>
      <c r="I61">
        <v>12</v>
      </c>
      <c r="J61" t="s">
        <v>26</v>
      </c>
      <c r="K61">
        <v>13.5</v>
      </c>
      <c r="L61" s="4">
        <f>K61/VLOOKUP(I61,Table1[[Year]:[Salary Cap]],2,FALSE)*100</f>
        <v>11.221945137157107</v>
      </c>
      <c r="M61" t="str">
        <f>_xlfn.IFNA(VLOOKUP(Table2[[#This Row],[Column1]],Table3[[Column1]:[Result]],4,FALSE),"MISSED PLAYOFFS")</f>
        <v>NFC Champ Loser</v>
      </c>
    </row>
    <row r="62" spans="1:13" x14ac:dyDescent="0.35">
      <c r="A62" t="str">
        <f t="shared" si="2"/>
        <v>16GB</v>
      </c>
      <c r="B62">
        <v>16</v>
      </c>
      <c r="C62" t="s">
        <v>11</v>
      </c>
      <c r="D62" t="s">
        <v>3</v>
      </c>
      <c r="E62" s="4">
        <v>12.397758742835061</v>
      </c>
      <c r="H62" t="str">
        <f>_xlfn.CONCAT(Table2[[#This Row],[Year]],Table2[[#This Row],[Team]])</f>
        <v>11NYJ</v>
      </c>
      <c r="I62">
        <v>11</v>
      </c>
      <c r="J62" t="s">
        <v>53</v>
      </c>
      <c r="K62">
        <v>17.228000000000002</v>
      </c>
      <c r="L62" s="4">
        <f>K62/VLOOKUP(I62,Table1[[Year]:[Salary Cap]],2,FALSE)*100</f>
        <v>14.356666666666667</v>
      </c>
      <c r="M62" t="str">
        <f>_xlfn.IFNA(VLOOKUP(Table2[[#This Row],[Column1]],Table3[[Column1]:[Result]],4,FALSE),"MISSED PLAYOFFS")</f>
        <v>MISSED PLAYOFFS</v>
      </c>
    </row>
    <row r="63" spans="1:13" x14ac:dyDescent="0.35">
      <c r="A63" t="str">
        <f t="shared" si="2"/>
        <v>15ARI</v>
      </c>
      <c r="B63">
        <v>15</v>
      </c>
      <c r="C63" t="s">
        <v>34</v>
      </c>
      <c r="D63" t="s">
        <v>3</v>
      </c>
      <c r="E63" s="4">
        <v>5.1472640982691233</v>
      </c>
      <c r="H63" t="str">
        <f>_xlfn.CONCAT(Table2[[#This Row],[Year]],Table2[[#This Row],[Team]])</f>
        <v>11IND</v>
      </c>
      <c r="I63">
        <v>11</v>
      </c>
      <c r="J63" t="s">
        <v>22</v>
      </c>
      <c r="K63">
        <v>16</v>
      </c>
      <c r="L63" s="4">
        <f>K63/VLOOKUP(I63,Table1[[Year]:[Salary Cap]],2,FALSE)*100</f>
        <v>13.333333333333334</v>
      </c>
      <c r="M63" t="str">
        <f>_xlfn.IFNA(VLOOKUP(Table2[[#This Row],[Column1]],Table3[[Column1]:[Result]],4,FALSE),"MISSED PLAYOFFS")</f>
        <v>MISSED PLAYOFFS</v>
      </c>
    </row>
    <row r="64" spans="1:13" x14ac:dyDescent="0.35">
      <c r="A64" t="str">
        <f t="shared" si="2"/>
        <v>14GB</v>
      </c>
      <c r="B64">
        <v>14</v>
      </c>
      <c r="C64" t="s">
        <v>11</v>
      </c>
      <c r="D64" t="s">
        <v>3</v>
      </c>
      <c r="E64" s="4">
        <v>13.195488721804512</v>
      </c>
      <c r="H64" t="str">
        <f>_xlfn.CONCAT(Table2[[#This Row],[Year]],Table2[[#This Row],[Team]])</f>
        <v>11NO</v>
      </c>
      <c r="I64">
        <v>11</v>
      </c>
      <c r="J64" t="s">
        <v>18</v>
      </c>
      <c r="K64">
        <v>14.987</v>
      </c>
      <c r="L64" s="4">
        <f>K64/VLOOKUP(I64,Table1[[Year]:[Salary Cap]],2,FALSE)*100</f>
        <v>12.489166666666666</v>
      </c>
      <c r="M64" t="str">
        <f>_xlfn.IFNA(VLOOKUP(Table2[[#This Row],[Column1]],Table3[[Column1]:[Result]],4,FALSE),"MISSED PLAYOFFS")</f>
        <v>NFC Divisional Loser</v>
      </c>
    </row>
    <row r="65" spans="1:13" x14ac:dyDescent="0.35">
      <c r="A65" t="str">
        <f t="shared" si="2"/>
        <v>13SF</v>
      </c>
      <c r="B65">
        <v>13</v>
      </c>
      <c r="C65" t="s">
        <v>10</v>
      </c>
      <c r="D65" t="s">
        <v>3</v>
      </c>
      <c r="E65" s="4">
        <v>1.2195121951219512</v>
      </c>
      <c r="H65" t="str">
        <f>_xlfn.CONCAT(Table2[[#This Row],[Year]],Table2[[#This Row],[Team]])</f>
        <v>11PHI</v>
      </c>
      <c r="I65">
        <v>11</v>
      </c>
      <c r="J65" t="s">
        <v>17</v>
      </c>
      <c r="K65">
        <v>14.4</v>
      </c>
      <c r="L65" s="4">
        <f>K65/VLOOKUP(I65,Table1[[Year]:[Salary Cap]],2,FALSE)*100</f>
        <v>12.000000000000002</v>
      </c>
      <c r="M65" t="str">
        <f>_xlfn.IFNA(VLOOKUP(Table2[[#This Row],[Column1]],Table3[[Column1]:[Result]],4,FALSE),"MISSED PLAYOFFS")</f>
        <v>MISSED PLAYOFFS</v>
      </c>
    </row>
    <row r="66" spans="1:13" x14ac:dyDescent="0.35">
      <c r="A66" t="str">
        <f t="shared" ref="A66:A97" si="3">_xlfn.CONCAT(B66,C66)</f>
        <v>12ATL</v>
      </c>
      <c r="B66">
        <v>12</v>
      </c>
      <c r="C66" t="s">
        <v>26</v>
      </c>
      <c r="D66" t="s">
        <v>3</v>
      </c>
      <c r="E66" s="4">
        <v>11.221945137157107</v>
      </c>
      <c r="H66" t="str">
        <f>_xlfn.CONCAT(Table2[[#This Row],[Year]],Table2[[#This Row],[Team]])</f>
        <v>11NYG</v>
      </c>
      <c r="I66">
        <v>11</v>
      </c>
      <c r="J66" t="s">
        <v>30</v>
      </c>
      <c r="K66">
        <v>14.1</v>
      </c>
      <c r="L66" s="4">
        <f>K66/VLOOKUP(I66,Table1[[Year]:[Salary Cap]],2,FALSE)*100</f>
        <v>11.75</v>
      </c>
      <c r="M66" t="str">
        <f>_xlfn.IFNA(VLOOKUP(Table2[[#This Row],[Column1]],Table3[[Column1]:[Result]],4,FALSE),"MISSED PLAYOFFS")</f>
        <v>Superbowl Winner</v>
      </c>
    </row>
    <row r="67" spans="1:13" x14ac:dyDescent="0.35">
      <c r="A67" t="str">
        <f t="shared" si="3"/>
        <v>11SF</v>
      </c>
      <c r="B67">
        <v>11</v>
      </c>
      <c r="C67" t="s">
        <v>10</v>
      </c>
      <c r="D67" t="s">
        <v>3</v>
      </c>
      <c r="E67" s="4">
        <v>4.0833333333333339</v>
      </c>
    </row>
    <row r="68" spans="1:13" x14ac:dyDescent="0.35">
      <c r="A68" t="str">
        <f t="shared" si="3"/>
        <v>10CHI</v>
      </c>
      <c r="B68">
        <v>10</v>
      </c>
      <c r="C68" t="s">
        <v>24</v>
      </c>
      <c r="D68" t="s">
        <v>3</v>
      </c>
      <c r="E68" s="4"/>
    </row>
    <row r="69" spans="1:13" x14ac:dyDescent="0.35">
      <c r="A69" t="str">
        <f t="shared" si="3"/>
        <v>20LAR</v>
      </c>
      <c r="B69">
        <v>20</v>
      </c>
      <c r="C69" t="s">
        <v>44</v>
      </c>
      <c r="D69" t="s">
        <v>5</v>
      </c>
      <c r="E69">
        <v>14.15</v>
      </c>
      <c r="H69" t="s">
        <v>54</v>
      </c>
    </row>
    <row r="70" spans="1:13" x14ac:dyDescent="0.35">
      <c r="A70" t="str">
        <f t="shared" si="3"/>
        <v>20NO</v>
      </c>
      <c r="B70">
        <v>20</v>
      </c>
      <c r="C70" t="s">
        <v>18</v>
      </c>
      <c r="D70" t="s">
        <v>5</v>
      </c>
      <c r="E70">
        <v>11.94</v>
      </c>
      <c r="H70" t="s">
        <v>55</v>
      </c>
      <c r="I70">
        <v>1</v>
      </c>
      <c r="J70" s="2">
        <f>I70/$I$76</f>
        <v>0.02</v>
      </c>
      <c r="K70" t="s">
        <v>56</v>
      </c>
    </row>
    <row r="71" spans="1:13" x14ac:dyDescent="0.35">
      <c r="A71" t="str">
        <f t="shared" si="3"/>
        <v>19MIN</v>
      </c>
      <c r="B71">
        <v>19</v>
      </c>
      <c r="C71" t="s">
        <v>14</v>
      </c>
      <c r="D71" t="s">
        <v>5</v>
      </c>
      <c r="E71">
        <v>15.12</v>
      </c>
      <c r="H71" t="s">
        <v>57</v>
      </c>
      <c r="I71">
        <v>2</v>
      </c>
      <c r="J71" s="2">
        <f t="shared" ref="J71:J75" si="4">I71/$I$76</f>
        <v>0.04</v>
      </c>
      <c r="K71" s="5" t="s">
        <v>58</v>
      </c>
    </row>
    <row r="72" spans="1:13" x14ac:dyDescent="0.35">
      <c r="A72" t="str">
        <f t="shared" si="3"/>
        <v>19SEA</v>
      </c>
      <c r="B72">
        <v>19</v>
      </c>
      <c r="C72" t="s">
        <v>13</v>
      </c>
      <c r="D72" t="s">
        <v>5</v>
      </c>
      <c r="E72">
        <v>13.36</v>
      </c>
      <c r="H72" t="s">
        <v>59</v>
      </c>
      <c r="I72">
        <v>4</v>
      </c>
      <c r="J72" s="2">
        <f t="shared" si="4"/>
        <v>0.08</v>
      </c>
      <c r="K72" s="5" t="s">
        <v>60</v>
      </c>
    </row>
    <row r="73" spans="1:13" x14ac:dyDescent="0.35">
      <c r="A73" t="str">
        <f t="shared" si="3"/>
        <v>18PHI</v>
      </c>
      <c r="B73">
        <v>18</v>
      </c>
      <c r="C73" t="s">
        <v>17</v>
      </c>
      <c r="D73" t="s">
        <v>5</v>
      </c>
      <c r="E73">
        <v>12.1</v>
      </c>
      <c r="H73" t="s">
        <v>61</v>
      </c>
      <c r="I73">
        <v>8</v>
      </c>
      <c r="J73" s="2">
        <f t="shared" si="4"/>
        <v>0.16</v>
      </c>
    </row>
    <row r="74" spans="1:13" x14ac:dyDescent="0.35">
      <c r="A74" t="str">
        <f t="shared" si="3"/>
        <v>18DAL</v>
      </c>
      <c r="B74">
        <v>18</v>
      </c>
      <c r="C74" t="s">
        <v>21</v>
      </c>
      <c r="D74" t="s">
        <v>5</v>
      </c>
      <c r="E74">
        <v>0.98</v>
      </c>
      <c r="H74" t="s">
        <v>62</v>
      </c>
      <c r="I74">
        <v>5</v>
      </c>
      <c r="J74" s="2">
        <f t="shared" si="4"/>
        <v>0.1</v>
      </c>
    </row>
    <row r="75" spans="1:13" x14ac:dyDescent="0.35">
      <c r="A75" t="str">
        <f t="shared" si="3"/>
        <v>17ATL</v>
      </c>
      <c r="B75">
        <v>17</v>
      </c>
      <c r="C75" t="s">
        <v>26</v>
      </c>
      <c r="D75" t="s">
        <v>5</v>
      </c>
      <c r="E75" s="4">
        <v>14.221556886227546</v>
      </c>
      <c r="H75" t="s">
        <v>63</v>
      </c>
      <c r="I75">
        <v>30</v>
      </c>
      <c r="J75" s="2">
        <f t="shared" si="4"/>
        <v>0.6</v>
      </c>
    </row>
    <row r="76" spans="1:13" ht="15.45" x14ac:dyDescent="0.4">
      <c r="A76" t="str">
        <f t="shared" si="3"/>
        <v>17NO</v>
      </c>
      <c r="B76">
        <v>17</v>
      </c>
      <c r="C76" t="s">
        <v>18</v>
      </c>
      <c r="D76" t="s">
        <v>5</v>
      </c>
      <c r="E76" s="4">
        <v>11.377245508982035</v>
      </c>
      <c r="H76" s="6" t="s">
        <v>64</v>
      </c>
      <c r="I76" s="6">
        <f>SUM(I70:I75)</f>
        <v>50</v>
      </c>
    </row>
    <row r="77" spans="1:13" x14ac:dyDescent="0.35">
      <c r="A77" t="str">
        <f t="shared" si="3"/>
        <v>16DAL</v>
      </c>
      <c r="B77">
        <v>16</v>
      </c>
      <c r="C77" t="s">
        <v>21</v>
      </c>
      <c r="D77" t="s">
        <v>5</v>
      </c>
      <c r="E77" s="4">
        <v>13.418561215946415</v>
      </c>
    </row>
    <row r="78" spans="1:13" x14ac:dyDescent="0.35">
      <c r="A78" t="str">
        <f t="shared" si="3"/>
        <v>16SEA</v>
      </c>
      <c r="B78">
        <v>16</v>
      </c>
      <c r="C78" t="s">
        <v>13</v>
      </c>
      <c r="D78" t="s">
        <v>5</v>
      </c>
      <c r="E78" s="4">
        <v>11.941778836864817</v>
      </c>
      <c r="H78" t="s">
        <v>65</v>
      </c>
    </row>
    <row r="79" spans="1:13" x14ac:dyDescent="0.35">
      <c r="A79" t="str">
        <f t="shared" si="3"/>
        <v>15GB</v>
      </c>
      <c r="B79">
        <v>15</v>
      </c>
      <c r="C79" t="s">
        <v>11</v>
      </c>
      <c r="D79" t="s">
        <v>5</v>
      </c>
      <c r="E79" s="4">
        <v>12.737297599106645</v>
      </c>
      <c r="H79" t="s">
        <v>29</v>
      </c>
      <c r="I79">
        <v>5</v>
      </c>
      <c r="J79" t="s">
        <v>77</v>
      </c>
    </row>
    <row r="80" spans="1:13" x14ac:dyDescent="0.35">
      <c r="A80" t="str">
        <f t="shared" si="3"/>
        <v>15SEA</v>
      </c>
      <c r="B80">
        <v>15</v>
      </c>
      <c r="C80" t="s">
        <v>13</v>
      </c>
      <c r="D80" t="s">
        <v>5</v>
      </c>
      <c r="E80" s="4">
        <v>4.9232272473478504</v>
      </c>
      <c r="H80" t="s">
        <v>26</v>
      </c>
      <c r="I80">
        <v>4</v>
      </c>
      <c r="J80" t="s">
        <v>66</v>
      </c>
    </row>
    <row r="81" spans="1:10" x14ac:dyDescent="0.35">
      <c r="A81" t="str">
        <f t="shared" si="3"/>
        <v>14DAL</v>
      </c>
      <c r="B81">
        <v>14</v>
      </c>
      <c r="C81" t="s">
        <v>21</v>
      </c>
      <c r="D81" t="s">
        <v>5</v>
      </c>
      <c r="E81" s="4">
        <v>8.851879699248121</v>
      </c>
      <c r="H81" t="s">
        <v>18</v>
      </c>
      <c r="I81">
        <v>4</v>
      </c>
      <c r="J81" t="s">
        <v>67</v>
      </c>
    </row>
    <row r="82" spans="1:10" x14ac:dyDescent="0.35">
      <c r="A82" t="str">
        <f t="shared" si="3"/>
        <v>14CAR</v>
      </c>
      <c r="B82">
        <v>14</v>
      </c>
      <c r="C82" t="s">
        <v>28</v>
      </c>
      <c r="D82" t="s">
        <v>5</v>
      </c>
      <c r="E82" s="4">
        <v>5.2631578947368416</v>
      </c>
      <c r="H82" t="s">
        <v>30</v>
      </c>
      <c r="I82">
        <v>4</v>
      </c>
      <c r="J82" t="s">
        <v>68</v>
      </c>
    </row>
    <row r="83" spans="1:10" x14ac:dyDescent="0.35">
      <c r="A83" t="str">
        <f t="shared" si="3"/>
        <v>13NO</v>
      </c>
      <c r="B83">
        <v>13</v>
      </c>
      <c r="C83" t="s">
        <v>18</v>
      </c>
      <c r="D83" t="s">
        <v>5</v>
      </c>
      <c r="E83" s="4">
        <v>14.146341463414632</v>
      </c>
      <c r="H83" t="s">
        <v>16</v>
      </c>
      <c r="I83">
        <v>3</v>
      </c>
      <c r="J83" t="s">
        <v>69</v>
      </c>
    </row>
    <row r="84" spans="1:10" x14ac:dyDescent="0.35">
      <c r="A84" t="str">
        <f t="shared" si="3"/>
        <v>13CAR</v>
      </c>
      <c r="B84">
        <v>13</v>
      </c>
      <c r="C84" t="s">
        <v>28</v>
      </c>
      <c r="D84" t="s">
        <v>5</v>
      </c>
      <c r="E84" s="4">
        <v>4.8780487804878048</v>
      </c>
      <c r="H84" t="s">
        <v>22</v>
      </c>
      <c r="I84">
        <v>3</v>
      </c>
      <c r="J84" t="s">
        <v>70</v>
      </c>
    </row>
    <row r="85" spans="1:10" x14ac:dyDescent="0.35">
      <c r="A85" t="str">
        <f t="shared" si="3"/>
        <v>12GB</v>
      </c>
      <c r="B85">
        <v>12</v>
      </c>
      <c r="C85" t="s">
        <v>11</v>
      </c>
      <c r="D85" t="s">
        <v>5</v>
      </c>
      <c r="E85" s="4">
        <v>7.065669160432253</v>
      </c>
      <c r="H85" t="s">
        <v>44</v>
      </c>
      <c r="I85">
        <v>3</v>
      </c>
      <c r="J85" t="s">
        <v>71</v>
      </c>
    </row>
    <row r="86" spans="1:10" x14ac:dyDescent="0.35">
      <c r="A86" t="str">
        <f t="shared" si="3"/>
        <v>12SEA</v>
      </c>
      <c r="B86">
        <v>12</v>
      </c>
      <c r="C86" t="s">
        <v>13</v>
      </c>
      <c r="D86" t="s">
        <v>5</v>
      </c>
      <c r="E86" s="4">
        <v>3.3250207813798838</v>
      </c>
      <c r="H86" t="s">
        <v>27</v>
      </c>
      <c r="I86">
        <v>3</v>
      </c>
      <c r="J86" t="s">
        <v>72</v>
      </c>
    </row>
    <row r="87" spans="1:10" x14ac:dyDescent="0.35">
      <c r="A87" t="str">
        <f t="shared" si="3"/>
        <v>11NO</v>
      </c>
      <c r="B87">
        <v>11</v>
      </c>
      <c r="C87" t="s">
        <v>18</v>
      </c>
      <c r="D87" t="s">
        <v>5</v>
      </c>
      <c r="E87" s="4">
        <v>12.483333333333334</v>
      </c>
      <c r="H87" t="s">
        <v>33</v>
      </c>
      <c r="I87">
        <v>2</v>
      </c>
      <c r="J87" t="s">
        <v>73</v>
      </c>
    </row>
    <row r="88" spans="1:10" x14ac:dyDescent="0.35">
      <c r="A88" t="str">
        <f t="shared" si="3"/>
        <v>11GB</v>
      </c>
      <c r="B88">
        <v>11</v>
      </c>
      <c r="C88" t="s">
        <v>11</v>
      </c>
      <c r="D88" t="s">
        <v>5</v>
      </c>
      <c r="E88" s="4">
        <v>6.4583333333333339</v>
      </c>
      <c r="H88" t="s">
        <v>11</v>
      </c>
      <c r="I88">
        <v>2</v>
      </c>
      <c r="J88" t="s">
        <v>74</v>
      </c>
    </row>
    <row r="89" spans="1:10" x14ac:dyDescent="0.35">
      <c r="A89" t="str">
        <f t="shared" si="3"/>
        <v>10ATL</v>
      </c>
      <c r="B89">
        <v>10</v>
      </c>
      <c r="C89" t="s">
        <v>26</v>
      </c>
      <c r="D89" t="s">
        <v>5</v>
      </c>
      <c r="E89" s="4"/>
      <c r="H89" t="s">
        <v>17</v>
      </c>
      <c r="I89">
        <v>2</v>
      </c>
      <c r="J89" t="s">
        <v>75</v>
      </c>
    </row>
    <row r="90" spans="1:10" x14ac:dyDescent="0.35">
      <c r="A90" t="str">
        <f t="shared" si="3"/>
        <v>10SEA</v>
      </c>
      <c r="B90">
        <v>10</v>
      </c>
      <c r="C90" t="s">
        <v>13</v>
      </c>
      <c r="D90" t="s">
        <v>5</v>
      </c>
      <c r="E90" s="4"/>
      <c r="H90" t="s">
        <v>13</v>
      </c>
      <c r="I90">
        <v>2</v>
      </c>
      <c r="J90" t="s">
        <v>76</v>
      </c>
    </row>
    <row r="91" spans="1:10" x14ac:dyDescent="0.35">
      <c r="A91" t="str">
        <f t="shared" si="3"/>
        <v>20SEA</v>
      </c>
      <c r="B91">
        <v>20</v>
      </c>
      <c r="C91" t="s">
        <v>13</v>
      </c>
      <c r="D91" t="s">
        <v>7</v>
      </c>
      <c r="E91">
        <v>15.53</v>
      </c>
      <c r="H91" t="s">
        <v>20</v>
      </c>
      <c r="I91">
        <v>1</v>
      </c>
      <c r="J91" t="s">
        <v>59</v>
      </c>
    </row>
    <row r="92" spans="1:10" x14ac:dyDescent="0.35">
      <c r="A92" t="str">
        <f t="shared" si="3"/>
        <v>20WAS</v>
      </c>
      <c r="B92">
        <v>20</v>
      </c>
      <c r="C92" t="s">
        <v>35</v>
      </c>
      <c r="D92" t="s">
        <v>7</v>
      </c>
      <c r="E92">
        <v>10.32</v>
      </c>
    </row>
    <row r="93" spans="1:10" x14ac:dyDescent="0.35">
      <c r="A93" t="str">
        <f t="shared" si="3"/>
        <v>20CHI</v>
      </c>
      <c r="B93">
        <v>20</v>
      </c>
      <c r="C93" t="s">
        <v>24</v>
      </c>
      <c r="D93" t="s">
        <v>7</v>
      </c>
      <c r="E93">
        <v>7.53</v>
      </c>
    </row>
    <row r="94" spans="1:10" x14ac:dyDescent="0.35">
      <c r="A94" t="str">
        <f t="shared" si="3"/>
        <v>19NO</v>
      </c>
      <c r="B94">
        <v>19</v>
      </c>
      <c r="C94" t="s">
        <v>18</v>
      </c>
      <c r="D94" t="s">
        <v>7</v>
      </c>
      <c r="E94">
        <v>11.95</v>
      </c>
    </row>
    <row r="95" spans="1:10" x14ac:dyDescent="0.35">
      <c r="A95" t="str">
        <f t="shared" si="3"/>
        <v>19PHI</v>
      </c>
      <c r="B95">
        <v>19</v>
      </c>
      <c r="C95" t="s">
        <v>17</v>
      </c>
      <c r="D95" t="s">
        <v>7</v>
      </c>
      <c r="E95">
        <v>4.22</v>
      </c>
    </row>
    <row r="96" spans="1:10" x14ac:dyDescent="0.35">
      <c r="A96" t="str">
        <f t="shared" si="3"/>
        <v>18SEA</v>
      </c>
      <c r="B96">
        <v>18</v>
      </c>
      <c r="C96" t="s">
        <v>13</v>
      </c>
      <c r="D96" t="s">
        <v>7</v>
      </c>
      <c r="E96">
        <v>13.38</v>
      </c>
    </row>
    <row r="97" spans="1:11" x14ac:dyDescent="0.35">
      <c r="A97" t="str">
        <f t="shared" si="3"/>
        <v>18CHI</v>
      </c>
      <c r="B97">
        <v>18</v>
      </c>
      <c r="C97" t="s">
        <v>24</v>
      </c>
      <c r="D97" t="s">
        <v>7</v>
      </c>
      <c r="E97">
        <v>5.73</v>
      </c>
    </row>
    <row r="98" spans="1:11" x14ac:dyDescent="0.35">
      <c r="A98" t="str">
        <f t="shared" ref="A98:A129" si="5">_xlfn.CONCAT(B98,C98)</f>
        <v>17CAR</v>
      </c>
      <c r="B98">
        <v>17</v>
      </c>
      <c r="C98" t="s">
        <v>28</v>
      </c>
      <c r="D98" t="s">
        <v>7</v>
      </c>
      <c r="E98" s="4">
        <v>12.075449101796409</v>
      </c>
    </row>
    <row r="99" spans="1:11" x14ac:dyDescent="0.35">
      <c r="A99" t="str">
        <f t="shared" si="5"/>
        <v>17LAR</v>
      </c>
      <c r="B99">
        <v>17</v>
      </c>
      <c r="C99" t="s">
        <v>44</v>
      </c>
      <c r="D99" t="s">
        <v>7</v>
      </c>
      <c r="E99" s="4">
        <v>3.8017964071856287</v>
      </c>
      <c r="I99" t="s">
        <v>78</v>
      </c>
      <c r="J99" t="s">
        <v>83</v>
      </c>
      <c r="K99" s="4" t="s">
        <v>84</v>
      </c>
    </row>
    <row r="100" spans="1:11" x14ac:dyDescent="0.35">
      <c r="A100" t="str">
        <f t="shared" si="5"/>
        <v>16NYG</v>
      </c>
      <c r="B100">
        <v>16</v>
      </c>
      <c r="C100" t="s">
        <v>30</v>
      </c>
      <c r="D100" t="s">
        <v>7</v>
      </c>
      <c r="E100" s="4">
        <v>15.585753848135505</v>
      </c>
      <c r="H100" t="s">
        <v>79</v>
      </c>
      <c r="I100" s="4">
        <v>8.2919346610400435</v>
      </c>
      <c r="J100" s="4">
        <v>8.7576012751980414</v>
      </c>
      <c r="K100" s="4">
        <v>4.4367571703429745</v>
      </c>
    </row>
    <row r="101" spans="1:11" x14ac:dyDescent="0.35">
      <c r="A101" t="str">
        <f t="shared" si="5"/>
        <v>16DET</v>
      </c>
      <c r="B101">
        <v>16</v>
      </c>
      <c r="C101" t="s">
        <v>29</v>
      </c>
      <c r="D101" t="s">
        <v>7</v>
      </c>
      <c r="E101" s="4">
        <v>14.490886842274747</v>
      </c>
      <c r="H101" t="s">
        <v>80</v>
      </c>
      <c r="I101" s="4">
        <v>8.2006163998331623</v>
      </c>
      <c r="J101" s="4">
        <v>8.7576012751980414</v>
      </c>
      <c r="K101" s="4">
        <v>4.4814252150432177</v>
      </c>
    </row>
    <row r="102" spans="1:11" x14ac:dyDescent="0.35">
      <c r="A102" t="str">
        <f t="shared" si="5"/>
        <v>15WAS</v>
      </c>
      <c r="B102">
        <v>15</v>
      </c>
      <c r="C102" t="s">
        <v>35</v>
      </c>
      <c r="D102" t="s">
        <v>7</v>
      </c>
      <c r="E102" s="4">
        <v>4.689419318816304</v>
      </c>
      <c r="H102" t="s">
        <v>81</v>
      </c>
      <c r="I102" s="4">
        <v>8.6311880872430553</v>
      </c>
      <c r="J102" s="4">
        <v>9.7483816979048754</v>
      </c>
      <c r="K102" s="4">
        <v>4.4789118017716687</v>
      </c>
    </row>
    <row r="103" spans="1:11" x14ac:dyDescent="0.35">
      <c r="A103" t="str">
        <f t="shared" si="5"/>
        <v>15MIN</v>
      </c>
      <c r="B103">
        <v>15</v>
      </c>
      <c r="C103" t="s">
        <v>14</v>
      </c>
      <c r="D103" t="s">
        <v>7</v>
      </c>
      <c r="E103" s="4">
        <v>2.2682858738135119</v>
      </c>
      <c r="H103" t="s">
        <v>82</v>
      </c>
      <c r="I103" s="4">
        <v>8.3351315542685693</v>
      </c>
      <c r="J103" s="4">
        <v>9.2532384142936905</v>
      </c>
      <c r="K103" s="4">
        <v>4.4928501382648003</v>
      </c>
    </row>
    <row r="104" spans="1:11" x14ac:dyDescent="0.35">
      <c r="A104" t="str">
        <f t="shared" si="5"/>
        <v>14DET</v>
      </c>
      <c r="B104">
        <v>14</v>
      </c>
      <c r="C104" t="s">
        <v>29</v>
      </c>
      <c r="D104" t="s">
        <v>7</v>
      </c>
      <c r="E104" s="4">
        <v>11.894736842105264</v>
      </c>
    </row>
    <row r="105" spans="1:11" x14ac:dyDescent="0.35">
      <c r="A105" t="str">
        <f t="shared" si="5"/>
        <v>14ARI</v>
      </c>
      <c r="B105">
        <v>14</v>
      </c>
      <c r="C105" t="s">
        <v>34</v>
      </c>
      <c r="D105" t="s">
        <v>7</v>
      </c>
      <c r="E105" s="4">
        <v>9.7744360902255636</v>
      </c>
    </row>
    <row r="106" spans="1:11" x14ac:dyDescent="0.35">
      <c r="A106" t="str">
        <f t="shared" si="5"/>
        <v>13PHI</v>
      </c>
      <c r="B106">
        <v>13</v>
      </c>
      <c r="C106" t="s">
        <v>17</v>
      </c>
      <c r="D106" t="s">
        <v>7</v>
      </c>
      <c r="E106" s="4">
        <v>9.9186991869918693</v>
      </c>
    </row>
    <row r="107" spans="1:11" x14ac:dyDescent="0.35">
      <c r="A107" t="str">
        <f t="shared" si="5"/>
        <v>13GB</v>
      </c>
      <c r="B107">
        <v>13</v>
      </c>
      <c r="C107" t="s">
        <v>11</v>
      </c>
      <c r="D107" t="s">
        <v>7</v>
      </c>
      <c r="E107" s="4">
        <v>9.7560975609756095</v>
      </c>
      <c r="H107" t="s">
        <v>79</v>
      </c>
    </row>
    <row r="108" spans="1:11" x14ac:dyDescent="0.35">
      <c r="A108" t="str">
        <f t="shared" si="5"/>
        <v>12WAS</v>
      </c>
      <c r="B108">
        <v>12</v>
      </c>
      <c r="C108" t="s">
        <v>35</v>
      </c>
      <c r="D108" t="s">
        <v>7</v>
      </c>
      <c r="E108" s="4">
        <v>3.1587697423108891</v>
      </c>
    </row>
    <row r="109" spans="1:11" x14ac:dyDescent="0.35">
      <c r="A109" t="str">
        <f t="shared" si="5"/>
        <v>12MIN</v>
      </c>
      <c r="B109">
        <v>12</v>
      </c>
      <c r="C109" t="s">
        <v>14</v>
      </c>
      <c r="D109" t="s">
        <v>7</v>
      </c>
      <c r="E109" s="4">
        <v>1.9118869492934329</v>
      </c>
    </row>
    <row r="110" spans="1:11" x14ac:dyDescent="0.35">
      <c r="A110" t="str">
        <f t="shared" si="5"/>
        <v>11ATL</v>
      </c>
      <c r="B110">
        <v>11</v>
      </c>
      <c r="C110" t="s">
        <v>26</v>
      </c>
      <c r="D110" t="s">
        <v>7</v>
      </c>
      <c r="E110" s="4">
        <v>11.041666666666666</v>
      </c>
    </row>
    <row r="111" spans="1:11" x14ac:dyDescent="0.35">
      <c r="A111" t="str">
        <f t="shared" si="5"/>
        <v>11DET</v>
      </c>
      <c r="B111">
        <v>11</v>
      </c>
      <c r="C111" t="s">
        <v>29</v>
      </c>
      <c r="D111" t="s">
        <v>7</v>
      </c>
      <c r="E111" s="4">
        <v>5.104166666666667</v>
      </c>
    </row>
    <row r="112" spans="1:11" x14ac:dyDescent="0.35">
      <c r="A112" t="str">
        <f t="shared" si="5"/>
        <v>10NO</v>
      </c>
      <c r="B112">
        <v>10</v>
      </c>
      <c r="C112" t="s">
        <v>18</v>
      </c>
      <c r="D112" t="s">
        <v>7</v>
      </c>
      <c r="E112" s="4"/>
    </row>
    <row r="113" spans="1:12" x14ac:dyDescent="0.35">
      <c r="A113" t="str">
        <f t="shared" si="5"/>
        <v>10PHI</v>
      </c>
      <c r="B113">
        <v>10</v>
      </c>
      <c r="C113" t="s">
        <v>17</v>
      </c>
      <c r="D113" t="s">
        <v>7</v>
      </c>
      <c r="E113" s="4"/>
    </row>
    <row r="114" spans="1:12" x14ac:dyDescent="0.35">
      <c r="A114" t="str">
        <f t="shared" si="5"/>
        <v>20KC</v>
      </c>
      <c r="B114">
        <v>20</v>
      </c>
      <c r="C114" t="s">
        <v>9</v>
      </c>
      <c r="D114" t="s">
        <v>42</v>
      </c>
      <c r="E114">
        <v>2.42</v>
      </c>
    </row>
    <row r="115" spans="1:12" x14ac:dyDescent="0.35">
      <c r="A115" t="str">
        <f t="shared" si="5"/>
        <v>19SF</v>
      </c>
      <c r="B115">
        <v>19</v>
      </c>
      <c r="C115" t="s">
        <v>10</v>
      </c>
      <c r="D115" t="s">
        <v>2</v>
      </c>
      <c r="E115">
        <v>8.65</v>
      </c>
    </row>
    <row r="116" spans="1:12" x14ac:dyDescent="0.35">
      <c r="A116" t="str">
        <f t="shared" si="5"/>
        <v>18LAR</v>
      </c>
      <c r="B116">
        <v>18</v>
      </c>
      <c r="C116" t="s">
        <v>44</v>
      </c>
      <c r="D116" t="s">
        <v>2</v>
      </c>
      <c r="E116">
        <v>4.7699999999999996</v>
      </c>
    </row>
    <row r="117" spans="1:12" x14ac:dyDescent="0.35">
      <c r="A117" t="str">
        <f t="shared" si="5"/>
        <v>17NE</v>
      </c>
      <c r="B117">
        <v>17</v>
      </c>
      <c r="C117" t="s">
        <v>20</v>
      </c>
      <c r="D117" t="s">
        <v>2</v>
      </c>
      <c r="E117" s="4">
        <v>8.3832335329341312</v>
      </c>
    </row>
    <row r="118" spans="1:12" x14ac:dyDescent="0.35">
      <c r="A118" t="str">
        <f t="shared" si="5"/>
        <v>16ATL</v>
      </c>
      <c r="B118">
        <v>16</v>
      </c>
      <c r="C118" t="s">
        <v>26</v>
      </c>
      <c r="D118" t="s">
        <v>2</v>
      </c>
      <c r="E118" s="4">
        <v>15.295936111290009</v>
      </c>
    </row>
    <row r="119" spans="1:12" x14ac:dyDescent="0.35">
      <c r="A119" t="str">
        <f t="shared" si="5"/>
        <v>15CAR</v>
      </c>
      <c r="B119">
        <v>15</v>
      </c>
      <c r="C119" t="s">
        <v>28</v>
      </c>
      <c r="D119" t="s">
        <v>2</v>
      </c>
      <c r="E119" s="4">
        <v>9.0731434952540475</v>
      </c>
    </row>
    <row r="120" spans="1:12" x14ac:dyDescent="0.35">
      <c r="A120" t="str">
        <f t="shared" si="5"/>
        <v>14SEA</v>
      </c>
      <c r="B120">
        <v>14</v>
      </c>
      <c r="C120" t="s">
        <v>13</v>
      </c>
      <c r="D120" t="s">
        <v>2</v>
      </c>
      <c r="E120" s="4">
        <v>0.93984962406015038</v>
      </c>
    </row>
    <row r="121" spans="1:12" x14ac:dyDescent="0.35">
      <c r="A121" t="str">
        <f t="shared" si="5"/>
        <v>13DEN</v>
      </c>
      <c r="B121">
        <v>13</v>
      </c>
      <c r="C121" t="s">
        <v>33</v>
      </c>
      <c r="D121" t="s">
        <v>2</v>
      </c>
      <c r="E121" s="4">
        <v>14.227642276422763</v>
      </c>
      <c r="H121" t="s">
        <v>99</v>
      </c>
      <c r="I121" t="s">
        <v>104</v>
      </c>
      <c r="J121" t="s">
        <v>105</v>
      </c>
      <c r="K121" s="4" t="s">
        <v>103</v>
      </c>
    </row>
    <row r="122" spans="1:12" x14ac:dyDescent="0.35">
      <c r="A122" t="str">
        <f t="shared" si="5"/>
        <v>12SF</v>
      </c>
      <c r="B122">
        <v>12</v>
      </c>
      <c r="C122" t="s">
        <v>10</v>
      </c>
      <c r="D122" t="s">
        <v>2</v>
      </c>
      <c r="E122" s="4">
        <v>7.6891105569409817</v>
      </c>
    </row>
    <row r="123" spans="1:12" x14ac:dyDescent="0.35">
      <c r="A123" t="str">
        <f t="shared" si="5"/>
        <v>11NE</v>
      </c>
      <c r="B123">
        <v>11</v>
      </c>
      <c r="C123" t="s">
        <v>20</v>
      </c>
      <c r="D123" t="s">
        <v>2</v>
      </c>
      <c r="E123" s="4">
        <v>11</v>
      </c>
      <c r="H123" t="s">
        <v>100</v>
      </c>
      <c r="I123">
        <v>1</v>
      </c>
      <c r="J123" t="s">
        <v>106</v>
      </c>
      <c r="K123" s="4">
        <v>1</v>
      </c>
    </row>
    <row r="124" spans="1:12" x14ac:dyDescent="0.35">
      <c r="A124" t="str">
        <f t="shared" si="5"/>
        <v>10PIT</v>
      </c>
      <c r="B124">
        <v>10</v>
      </c>
      <c r="C124" t="s">
        <v>27</v>
      </c>
      <c r="D124" t="s">
        <v>2</v>
      </c>
      <c r="E124" s="4"/>
      <c r="K124" s="4">
        <f t="shared" ref="K124:K132" si="6">I124+J124</f>
        <v>0</v>
      </c>
    </row>
    <row r="125" spans="1:12" x14ac:dyDescent="0.35">
      <c r="A125" t="str">
        <f t="shared" si="5"/>
        <v>20TB</v>
      </c>
      <c r="B125">
        <v>20</v>
      </c>
      <c r="C125" t="s">
        <v>40</v>
      </c>
      <c r="D125" t="s">
        <v>41</v>
      </c>
      <c r="E125">
        <v>13.9</v>
      </c>
      <c r="H125" t="s">
        <v>101</v>
      </c>
      <c r="I125">
        <v>4</v>
      </c>
      <c r="J125">
        <v>2</v>
      </c>
      <c r="K125" s="4">
        <v>5</v>
      </c>
      <c r="L125" t="s">
        <v>107</v>
      </c>
    </row>
    <row r="126" spans="1:12" x14ac:dyDescent="0.35">
      <c r="A126" t="str">
        <f t="shared" si="5"/>
        <v>19KC</v>
      </c>
      <c r="B126">
        <v>19</v>
      </c>
      <c r="C126" t="s">
        <v>9</v>
      </c>
      <c r="D126" t="s">
        <v>1</v>
      </c>
      <c r="E126">
        <v>2.36</v>
      </c>
      <c r="K126" s="4">
        <f t="shared" si="6"/>
        <v>0</v>
      </c>
    </row>
    <row r="127" spans="1:12" x14ac:dyDescent="0.35">
      <c r="A127" t="str">
        <f t="shared" si="5"/>
        <v>18NE</v>
      </c>
      <c r="B127">
        <v>18</v>
      </c>
      <c r="C127" t="s">
        <v>20</v>
      </c>
      <c r="D127" t="s">
        <v>1</v>
      </c>
      <c r="E127">
        <v>12.21</v>
      </c>
      <c r="K127" s="4">
        <f t="shared" si="6"/>
        <v>0</v>
      </c>
    </row>
    <row r="128" spans="1:12" x14ac:dyDescent="0.35">
      <c r="A128" t="str">
        <f t="shared" si="5"/>
        <v>17PHI</v>
      </c>
      <c r="B128">
        <v>17</v>
      </c>
      <c r="C128" t="s">
        <v>17</v>
      </c>
      <c r="D128" t="s">
        <v>1</v>
      </c>
      <c r="E128" s="4">
        <v>3.6299401197604788</v>
      </c>
      <c r="H128" t="s">
        <v>102</v>
      </c>
      <c r="I128" t="s">
        <v>106</v>
      </c>
      <c r="J128">
        <v>3</v>
      </c>
      <c r="K128" s="4">
        <v>3</v>
      </c>
    </row>
    <row r="129" spans="1:11" x14ac:dyDescent="0.35">
      <c r="A129" t="str">
        <f t="shared" si="5"/>
        <v>16NE</v>
      </c>
      <c r="B129">
        <v>16</v>
      </c>
      <c r="C129" t="s">
        <v>20</v>
      </c>
      <c r="D129" t="s">
        <v>1</v>
      </c>
      <c r="E129" s="4">
        <v>8.8652025503960843</v>
      </c>
      <c r="K129" s="4">
        <f t="shared" si="6"/>
        <v>0</v>
      </c>
    </row>
    <row r="130" spans="1:11" x14ac:dyDescent="0.35">
      <c r="A130" t="str">
        <f t="shared" ref="A130:A135" si="7">_xlfn.CONCAT(B130,C130)</f>
        <v>15DEN</v>
      </c>
      <c r="B130">
        <v>15</v>
      </c>
      <c r="C130" t="s">
        <v>33</v>
      </c>
      <c r="D130" t="s">
        <v>1</v>
      </c>
      <c r="E130" s="4">
        <v>12.213847012841986</v>
      </c>
      <c r="K130" s="4">
        <f t="shared" si="6"/>
        <v>0</v>
      </c>
    </row>
    <row r="131" spans="1:11" x14ac:dyDescent="0.35">
      <c r="A131" t="str">
        <f t="shared" si="7"/>
        <v>14NE</v>
      </c>
      <c r="B131">
        <v>14</v>
      </c>
      <c r="C131" t="s">
        <v>20</v>
      </c>
      <c r="D131" t="s">
        <v>1</v>
      </c>
      <c r="E131" s="4">
        <v>11.12781954887218</v>
      </c>
      <c r="K131" s="4">
        <f t="shared" si="6"/>
        <v>0</v>
      </c>
    </row>
    <row r="132" spans="1:11" x14ac:dyDescent="0.35">
      <c r="A132" t="str">
        <f t="shared" si="7"/>
        <v>13SEA</v>
      </c>
      <c r="B132">
        <v>13</v>
      </c>
      <c r="C132" t="s">
        <v>13</v>
      </c>
      <c r="D132" t="s">
        <v>1</v>
      </c>
      <c r="E132" s="4">
        <v>0.68292682926829273</v>
      </c>
      <c r="K132" s="4">
        <f t="shared" si="6"/>
        <v>0</v>
      </c>
    </row>
    <row r="133" spans="1:11" x14ac:dyDescent="0.35">
      <c r="A133" t="str">
        <f t="shared" si="7"/>
        <v>12BAL</v>
      </c>
      <c r="B133">
        <v>12</v>
      </c>
      <c r="C133" t="s">
        <v>16</v>
      </c>
      <c r="D133" t="s">
        <v>1</v>
      </c>
      <c r="E133" s="4">
        <v>6.6500415627597675</v>
      </c>
    </row>
    <row r="134" spans="1:11" x14ac:dyDescent="0.35">
      <c r="A134" t="str">
        <f t="shared" si="7"/>
        <v>11NYG</v>
      </c>
      <c r="B134">
        <v>11</v>
      </c>
      <c r="C134" t="s">
        <v>30</v>
      </c>
      <c r="D134" t="s">
        <v>1</v>
      </c>
      <c r="E134" s="4">
        <v>11.75</v>
      </c>
    </row>
    <row r="135" spans="1:11" x14ac:dyDescent="0.35">
      <c r="A135" t="str">
        <f t="shared" si="7"/>
        <v>10GB</v>
      </c>
      <c r="B135">
        <v>10</v>
      </c>
      <c r="C135" t="s">
        <v>11</v>
      </c>
      <c r="D135" t="s">
        <v>1</v>
      </c>
      <c r="E135" s="4"/>
    </row>
    <row r="138" spans="1:11" x14ac:dyDescent="0.35">
      <c r="I138" t="s">
        <v>85</v>
      </c>
      <c r="J138" t="s">
        <v>87</v>
      </c>
      <c r="K138" s="4" t="s">
        <v>86</v>
      </c>
    </row>
    <row r="139" spans="1:11" x14ac:dyDescent="0.35">
      <c r="H139" t="s">
        <v>79</v>
      </c>
      <c r="I139">
        <v>8</v>
      </c>
      <c r="J139">
        <v>12</v>
      </c>
      <c r="K139" s="4" t="s">
        <v>88</v>
      </c>
    </row>
    <row r="140" spans="1:11" x14ac:dyDescent="0.35">
      <c r="H140" t="s">
        <v>89</v>
      </c>
      <c r="I140">
        <v>17</v>
      </c>
      <c r="J140">
        <v>23</v>
      </c>
    </row>
    <row r="141" spans="1:11" x14ac:dyDescent="0.35">
      <c r="H141" t="s">
        <v>81</v>
      </c>
      <c r="I141">
        <v>39</v>
      </c>
      <c r="J141">
        <v>41</v>
      </c>
      <c r="K141"/>
    </row>
    <row r="142" spans="1:11" x14ac:dyDescent="0.35">
      <c r="H142" t="s">
        <v>82</v>
      </c>
      <c r="I142">
        <v>55</v>
      </c>
      <c r="J142">
        <v>67</v>
      </c>
      <c r="K142"/>
    </row>
    <row r="144" spans="1:11" x14ac:dyDescent="0.35">
      <c r="H144" s="8" t="s">
        <v>91</v>
      </c>
      <c r="I144" s="8">
        <v>13</v>
      </c>
      <c r="J144" s="8">
        <v>15</v>
      </c>
      <c r="K144" s="4" t="s">
        <v>92</v>
      </c>
    </row>
    <row r="145" spans="8:13" x14ac:dyDescent="0.35">
      <c r="H145" s="8"/>
      <c r="I145" s="8"/>
      <c r="J145" s="8"/>
      <c r="K145" s="4" t="s">
        <v>93</v>
      </c>
    </row>
    <row r="146" spans="8:13" x14ac:dyDescent="0.35">
      <c r="H146" s="8" t="s">
        <v>90</v>
      </c>
      <c r="I146" s="8">
        <v>37</v>
      </c>
      <c r="J146" s="8">
        <v>35</v>
      </c>
      <c r="K146" t="s">
        <v>94</v>
      </c>
    </row>
    <row r="147" spans="8:13" x14ac:dyDescent="0.35">
      <c r="H147" s="8"/>
      <c r="I147" s="8"/>
      <c r="J147" s="8"/>
      <c r="K147" s="4" t="s">
        <v>95</v>
      </c>
    </row>
    <row r="148" spans="8:13" x14ac:dyDescent="0.35">
      <c r="J148" s="4"/>
      <c r="K148" s="4" t="s">
        <v>96</v>
      </c>
    </row>
    <row r="149" spans="8:13" x14ac:dyDescent="0.35">
      <c r="J149" s="4"/>
      <c r="K149"/>
    </row>
    <row r="150" spans="8:13" x14ac:dyDescent="0.35">
      <c r="J150" s="4"/>
      <c r="K150"/>
    </row>
    <row r="151" spans="8:13" ht="15" customHeight="1" x14ac:dyDescent="0.35">
      <c r="J151" s="4"/>
      <c r="K151" s="7" t="s">
        <v>97</v>
      </c>
      <c r="L151" s="7"/>
      <c r="M151" s="7"/>
    </row>
    <row r="152" spans="8:13" x14ac:dyDescent="0.35">
      <c r="J152" s="4"/>
      <c r="K152" s="7"/>
      <c r="L152" s="7"/>
      <c r="M152" s="7"/>
    </row>
    <row r="153" spans="8:13" x14ac:dyDescent="0.35">
      <c r="J153" s="4"/>
      <c r="K153" t="s">
        <v>98</v>
      </c>
    </row>
    <row r="154" spans="8:13" x14ac:dyDescent="0.35">
      <c r="J154" s="4"/>
      <c r="K154"/>
    </row>
    <row r="155" spans="8:13" x14ac:dyDescent="0.35">
      <c r="J155" s="4"/>
      <c r="K155"/>
    </row>
    <row r="156" spans="8:13" x14ac:dyDescent="0.35">
      <c r="J156" s="4"/>
      <c r="K156"/>
    </row>
    <row r="157" spans="8:13" x14ac:dyDescent="0.35">
      <c r="J157" s="4"/>
      <c r="K157"/>
    </row>
    <row r="158" spans="8:13" x14ac:dyDescent="0.35">
      <c r="J158" s="4"/>
      <c r="K158"/>
    </row>
    <row r="159" spans="8:13" x14ac:dyDescent="0.35">
      <c r="J159" s="4"/>
      <c r="K159"/>
    </row>
    <row r="160" spans="8:13" x14ac:dyDescent="0.35">
      <c r="J160" s="4"/>
      <c r="K160"/>
    </row>
    <row r="161" spans="10:11" x14ac:dyDescent="0.35">
      <c r="J161" s="4"/>
      <c r="K161"/>
    </row>
    <row r="162" spans="10:11" x14ac:dyDescent="0.35">
      <c r="J162" s="4"/>
      <c r="K162"/>
    </row>
    <row r="163" spans="10:11" x14ac:dyDescent="0.35">
      <c r="J163" s="4"/>
      <c r="K163"/>
    </row>
    <row r="164" spans="10:11" x14ac:dyDescent="0.35">
      <c r="J164" s="4"/>
      <c r="K164"/>
    </row>
    <row r="165" spans="10:11" x14ac:dyDescent="0.35">
      <c r="J165" s="4"/>
      <c r="K165"/>
    </row>
    <row r="166" spans="10:11" x14ac:dyDescent="0.35">
      <c r="J166" s="4"/>
      <c r="K166"/>
    </row>
    <row r="167" spans="10:11" x14ac:dyDescent="0.35">
      <c r="J167" s="4"/>
      <c r="K167"/>
    </row>
    <row r="168" spans="10:11" x14ac:dyDescent="0.35">
      <c r="J168" s="4"/>
      <c r="K168"/>
    </row>
    <row r="169" spans="10:11" x14ac:dyDescent="0.35">
      <c r="J169" s="4"/>
      <c r="K169"/>
    </row>
    <row r="170" spans="10:11" x14ac:dyDescent="0.35">
      <c r="J170" s="4"/>
      <c r="K170"/>
    </row>
    <row r="171" spans="10:11" x14ac:dyDescent="0.35">
      <c r="J171" s="4"/>
      <c r="K171"/>
    </row>
    <row r="172" spans="10:11" x14ac:dyDescent="0.35">
      <c r="J172" s="4"/>
      <c r="K172"/>
    </row>
    <row r="173" spans="10:11" x14ac:dyDescent="0.35">
      <c r="J173" s="4"/>
      <c r="K173"/>
    </row>
    <row r="174" spans="10:11" x14ac:dyDescent="0.35">
      <c r="J174" s="4"/>
      <c r="K174"/>
    </row>
    <row r="175" spans="10:11" x14ac:dyDescent="0.35">
      <c r="J175" s="4"/>
      <c r="K175"/>
    </row>
    <row r="176" spans="10:11" x14ac:dyDescent="0.35">
      <c r="J176" s="4"/>
      <c r="K176"/>
    </row>
    <row r="177" spans="10:11" x14ac:dyDescent="0.35">
      <c r="J177" s="4"/>
      <c r="K177"/>
    </row>
    <row r="178" spans="10:11" x14ac:dyDescent="0.35">
      <c r="J178" s="4"/>
      <c r="K178"/>
    </row>
    <row r="179" spans="10:11" x14ac:dyDescent="0.35">
      <c r="J179" s="4"/>
      <c r="K179"/>
    </row>
    <row r="180" spans="10:11" x14ac:dyDescent="0.35">
      <c r="J180" s="4"/>
      <c r="K180"/>
    </row>
    <row r="181" spans="10:11" x14ac:dyDescent="0.35">
      <c r="J181" s="4"/>
      <c r="K181"/>
    </row>
    <row r="182" spans="10:11" x14ac:dyDescent="0.35">
      <c r="J182" s="4"/>
      <c r="K182"/>
    </row>
    <row r="183" spans="10:11" x14ac:dyDescent="0.35">
      <c r="J183" s="4"/>
      <c r="K183"/>
    </row>
    <row r="184" spans="10:11" x14ac:dyDescent="0.35">
      <c r="J184" s="4"/>
      <c r="K184"/>
    </row>
    <row r="185" spans="10:11" x14ac:dyDescent="0.35">
      <c r="J185" s="4"/>
      <c r="K185"/>
    </row>
    <row r="186" spans="10:11" x14ac:dyDescent="0.35">
      <c r="J186" s="4"/>
      <c r="K186"/>
    </row>
    <row r="187" spans="10:11" x14ac:dyDescent="0.35">
      <c r="J187" s="4"/>
      <c r="K187"/>
    </row>
    <row r="188" spans="10:11" x14ac:dyDescent="0.35">
      <c r="J188" s="4"/>
      <c r="K188"/>
    </row>
    <row r="189" spans="10:11" x14ac:dyDescent="0.35">
      <c r="J189" s="4"/>
      <c r="K189"/>
    </row>
    <row r="190" spans="10:11" x14ac:dyDescent="0.35">
      <c r="J190" s="4"/>
      <c r="K190"/>
    </row>
    <row r="191" spans="10:11" x14ac:dyDescent="0.35">
      <c r="J191" s="4"/>
      <c r="K191"/>
    </row>
    <row r="192" spans="10:11" x14ac:dyDescent="0.35">
      <c r="J192" s="4"/>
      <c r="K192"/>
    </row>
    <row r="193" spans="10:11" x14ac:dyDescent="0.35">
      <c r="J193" s="4"/>
      <c r="K193"/>
    </row>
    <row r="194" spans="10:11" x14ac:dyDescent="0.35">
      <c r="J194" s="4"/>
      <c r="K194"/>
    </row>
    <row r="195" spans="10:11" x14ac:dyDescent="0.35">
      <c r="J195" s="4"/>
      <c r="K195"/>
    </row>
    <row r="196" spans="10:11" x14ac:dyDescent="0.35">
      <c r="J196" s="4"/>
      <c r="K196"/>
    </row>
    <row r="197" spans="10:11" x14ac:dyDescent="0.35">
      <c r="J197" s="4"/>
      <c r="K197"/>
    </row>
    <row r="198" spans="10:11" x14ac:dyDescent="0.35">
      <c r="J198" s="4"/>
      <c r="K198"/>
    </row>
    <row r="199" spans="10:11" x14ac:dyDescent="0.35">
      <c r="J199" s="4"/>
      <c r="K199"/>
    </row>
    <row r="200" spans="10:11" x14ac:dyDescent="0.35">
      <c r="J200" s="4"/>
      <c r="K200"/>
    </row>
    <row r="201" spans="10:11" x14ac:dyDescent="0.35">
      <c r="J201" s="4"/>
      <c r="K201"/>
    </row>
    <row r="202" spans="10:11" x14ac:dyDescent="0.35">
      <c r="J202" s="4"/>
      <c r="K202"/>
    </row>
    <row r="203" spans="10:11" x14ac:dyDescent="0.35">
      <c r="J203" s="4"/>
      <c r="K203"/>
    </row>
    <row r="204" spans="10:11" x14ac:dyDescent="0.35">
      <c r="J204" s="4"/>
      <c r="K204"/>
    </row>
    <row r="205" spans="10:11" x14ac:dyDescent="0.35">
      <c r="J205" s="4"/>
      <c r="K205"/>
    </row>
    <row r="206" spans="10:11" x14ac:dyDescent="0.35">
      <c r="J206" s="4"/>
      <c r="K206"/>
    </row>
    <row r="207" spans="10:11" x14ac:dyDescent="0.35">
      <c r="J207" s="4"/>
      <c r="K207"/>
    </row>
    <row r="208" spans="10:11" x14ac:dyDescent="0.35">
      <c r="J208" s="4"/>
      <c r="K208"/>
    </row>
    <row r="209" spans="10:11" x14ac:dyDescent="0.35">
      <c r="J209" s="4"/>
      <c r="K209"/>
    </row>
    <row r="210" spans="10:11" x14ac:dyDescent="0.35">
      <c r="J210" s="4"/>
      <c r="K210"/>
    </row>
    <row r="211" spans="10:11" x14ac:dyDescent="0.35">
      <c r="J211" s="4"/>
      <c r="K211"/>
    </row>
    <row r="212" spans="10:11" x14ac:dyDescent="0.35">
      <c r="J212" s="4"/>
      <c r="K212"/>
    </row>
    <row r="213" spans="10:11" x14ac:dyDescent="0.35">
      <c r="J213" s="4"/>
      <c r="K213"/>
    </row>
    <row r="214" spans="10:11" x14ac:dyDescent="0.35">
      <c r="J214" s="4"/>
      <c r="K214"/>
    </row>
    <row r="215" spans="10:11" x14ac:dyDescent="0.35">
      <c r="J215" s="4"/>
      <c r="K215"/>
    </row>
    <row r="216" spans="10:11" x14ac:dyDescent="0.35">
      <c r="J216" s="4"/>
      <c r="K216"/>
    </row>
    <row r="217" spans="10:11" x14ac:dyDescent="0.35">
      <c r="J217" s="4"/>
      <c r="K217"/>
    </row>
    <row r="218" spans="10:11" x14ac:dyDescent="0.35">
      <c r="J218" s="4"/>
      <c r="K218"/>
    </row>
    <row r="219" spans="10:11" x14ac:dyDescent="0.35">
      <c r="J219" s="4"/>
      <c r="K219"/>
    </row>
    <row r="220" spans="10:11" x14ac:dyDescent="0.35">
      <c r="J220" s="4"/>
      <c r="K220"/>
    </row>
    <row r="221" spans="10:11" x14ac:dyDescent="0.35">
      <c r="J221" s="4"/>
      <c r="K221"/>
    </row>
    <row r="222" spans="10:11" x14ac:dyDescent="0.35">
      <c r="J222" s="4"/>
      <c r="K222"/>
    </row>
    <row r="223" spans="10:11" x14ac:dyDescent="0.35">
      <c r="J223" s="4"/>
      <c r="K223"/>
    </row>
    <row r="224" spans="10:11" x14ac:dyDescent="0.35">
      <c r="J224" s="4"/>
      <c r="K224"/>
    </row>
    <row r="225" spans="10:11" x14ac:dyDescent="0.35">
      <c r="J225" s="4"/>
      <c r="K225"/>
    </row>
    <row r="226" spans="10:11" x14ac:dyDescent="0.35">
      <c r="J226" s="4"/>
      <c r="K226"/>
    </row>
    <row r="227" spans="10:11" x14ac:dyDescent="0.35">
      <c r="J227" s="4"/>
      <c r="K227"/>
    </row>
    <row r="228" spans="10:11" x14ac:dyDescent="0.35">
      <c r="J228" s="4"/>
      <c r="K228"/>
    </row>
    <row r="229" spans="10:11" x14ac:dyDescent="0.35">
      <c r="J229" s="4"/>
      <c r="K229"/>
    </row>
    <row r="230" spans="10:11" x14ac:dyDescent="0.35">
      <c r="J230" s="4"/>
      <c r="K230"/>
    </row>
    <row r="231" spans="10:11" x14ac:dyDescent="0.35">
      <c r="J231" s="4"/>
      <c r="K231"/>
    </row>
    <row r="232" spans="10:11" x14ac:dyDescent="0.35">
      <c r="J232" s="4"/>
      <c r="K232"/>
    </row>
    <row r="233" spans="10:11" x14ac:dyDescent="0.35">
      <c r="J233" s="4"/>
      <c r="K233"/>
    </row>
    <row r="234" spans="10:11" x14ac:dyDescent="0.35">
      <c r="J234" s="4"/>
      <c r="K234"/>
    </row>
    <row r="235" spans="10:11" x14ac:dyDescent="0.35">
      <c r="J235" s="4"/>
      <c r="K235"/>
    </row>
    <row r="236" spans="10:11" x14ac:dyDescent="0.35">
      <c r="J236" s="4"/>
      <c r="K236"/>
    </row>
    <row r="237" spans="10:11" x14ac:dyDescent="0.35">
      <c r="J237" s="4"/>
      <c r="K237"/>
    </row>
    <row r="238" spans="10:11" x14ac:dyDescent="0.35">
      <c r="J238" s="4"/>
      <c r="K238"/>
    </row>
    <row r="239" spans="10:11" x14ac:dyDescent="0.35">
      <c r="J239" s="4"/>
      <c r="K239"/>
    </row>
    <row r="240" spans="10:11" x14ac:dyDescent="0.35">
      <c r="J240" s="4"/>
      <c r="K240"/>
    </row>
    <row r="241" spans="10:11" x14ac:dyDescent="0.35">
      <c r="J241" s="4"/>
      <c r="K241"/>
    </row>
    <row r="242" spans="10:11" x14ac:dyDescent="0.35">
      <c r="J242" s="4"/>
      <c r="K242"/>
    </row>
    <row r="243" spans="10:11" x14ac:dyDescent="0.35">
      <c r="J243" s="4"/>
      <c r="K243"/>
    </row>
    <row r="244" spans="10:11" x14ac:dyDescent="0.35">
      <c r="J244" s="4"/>
      <c r="K244"/>
    </row>
    <row r="245" spans="10:11" x14ac:dyDescent="0.35">
      <c r="J245" s="4"/>
      <c r="K245"/>
    </row>
    <row r="246" spans="10:11" x14ac:dyDescent="0.35">
      <c r="J246" s="4"/>
      <c r="K246"/>
    </row>
    <row r="247" spans="10:11" x14ac:dyDescent="0.35">
      <c r="J247" s="4"/>
      <c r="K247"/>
    </row>
    <row r="248" spans="10:11" x14ac:dyDescent="0.35">
      <c r="J248" s="4"/>
      <c r="K248"/>
    </row>
    <row r="249" spans="10:11" x14ac:dyDescent="0.35">
      <c r="J249" s="4"/>
      <c r="K249"/>
    </row>
    <row r="250" spans="10:11" x14ac:dyDescent="0.35">
      <c r="J250" s="4"/>
      <c r="K250"/>
    </row>
    <row r="251" spans="10:11" x14ac:dyDescent="0.35">
      <c r="J251" s="4"/>
      <c r="K251"/>
    </row>
    <row r="252" spans="10:11" x14ac:dyDescent="0.35">
      <c r="J252" s="4"/>
      <c r="K252"/>
    </row>
    <row r="253" spans="10:11" x14ac:dyDescent="0.35">
      <c r="J253" s="4"/>
      <c r="K253"/>
    </row>
    <row r="254" spans="10:11" x14ac:dyDescent="0.35">
      <c r="J254" s="4"/>
      <c r="K254"/>
    </row>
    <row r="255" spans="10:11" x14ac:dyDescent="0.35">
      <c r="J255" s="4"/>
      <c r="K255"/>
    </row>
    <row r="256" spans="10:11" x14ac:dyDescent="0.35">
      <c r="J256" s="4"/>
      <c r="K256"/>
    </row>
    <row r="257" spans="10:11" x14ac:dyDescent="0.35">
      <c r="J257" s="4"/>
      <c r="K257"/>
    </row>
    <row r="258" spans="10:11" x14ac:dyDescent="0.35">
      <c r="J258" s="4"/>
      <c r="K258"/>
    </row>
    <row r="259" spans="10:11" x14ac:dyDescent="0.35">
      <c r="J259" s="4"/>
      <c r="K259"/>
    </row>
  </sheetData>
  <sortState xmlns:xlrd2="http://schemas.microsoft.com/office/spreadsheetml/2017/richdata2" ref="H79:I91">
    <sortCondition descending="1" ref="I79:I91"/>
  </sortState>
  <mergeCells count="7">
    <mergeCell ref="K151:M152"/>
    <mergeCell ref="H144:H145"/>
    <mergeCell ref="I144:I145"/>
    <mergeCell ref="J144:J145"/>
    <mergeCell ref="H146:H147"/>
    <mergeCell ref="I146:I147"/>
    <mergeCell ref="J146:J147"/>
  </mergeCells>
  <phoneticPr fontId="3" type="noConversion"/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Seth Lanza</dc:creator>
  <cp:lastModifiedBy>Seth Lanza</cp:lastModifiedBy>
  <dcterms:created xsi:type="dcterms:W3CDTF">2020-10-07T17:51:53Z</dcterms:created>
  <dcterms:modified xsi:type="dcterms:W3CDTF">2026-01-19T21:33:39Z</dcterms:modified>
</cp:coreProperties>
</file>