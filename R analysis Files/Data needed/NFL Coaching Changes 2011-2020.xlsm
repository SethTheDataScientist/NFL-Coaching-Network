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579A1B86C13AE3A/Excel Files/Football/Data Csv/Misc/"/>
    </mc:Choice>
  </mc:AlternateContent>
  <xr:revisionPtr revIDLastSave="64" documentId="14_{D78D4DA3-C1DC-4332-867F-3554B3EFCCC0}" xr6:coauthVersionLast="47" xr6:coauthVersionMax="47" xr10:uidLastSave="{66235072-A902-4221-9508-DF645A61FEE2}"/>
  <bookViews>
    <workbookView xWindow="42710" yWindow="-4640" windowWidth="17380" windowHeight="13770" xr2:uid="{C2C30AD4-710C-47C9-A73C-987A9DE1449B}"/>
  </bookViews>
  <sheets>
    <sheet name="NFL" sheetId="1" r:id="rId1"/>
    <sheet name="Tenured" sheetId="2" r:id="rId2"/>
    <sheet name="Browns" sheetId="3" r:id="rId3"/>
  </sheets>
  <definedNames>
    <definedName name="_xlnm._FilterDatabase" localSheetId="0" hidden="1">NFL!$A$1:$M$862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36" i="1" l="1"/>
  <c r="H836" i="1"/>
  <c r="G836" i="1"/>
  <c r="F836" i="1"/>
  <c r="I809" i="1"/>
  <c r="H809" i="1"/>
  <c r="G809" i="1"/>
  <c r="F809" i="1"/>
  <c r="I782" i="1"/>
  <c r="H782" i="1"/>
  <c r="G782" i="1"/>
  <c r="F782" i="1"/>
  <c r="I755" i="1"/>
  <c r="H755" i="1"/>
  <c r="G755" i="1"/>
  <c r="F755" i="1"/>
  <c r="I728" i="1"/>
  <c r="H728" i="1"/>
  <c r="G728" i="1"/>
  <c r="F728" i="1"/>
  <c r="I701" i="1"/>
  <c r="H701" i="1"/>
  <c r="G701" i="1"/>
  <c r="F701" i="1"/>
  <c r="I674" i="1"/>
  <c r="H674" i="1"/>
  <c r="G674" i="1"/>
  <c r="F674" i="1"/>
  <c r="I647" i="1"/>
  <c r="H647" i="1"/>
  <c r="G647" i="1"/>
  <c r="F647" i="1"/>
  <c r="I620" i="1"/>
  <c r="H620" i="1"/>
  <c r="G620" i="1"/>
  <c r="F620" i="1"/>
  <c r="I593" i="1"/>
  <c r="H593" i="1"/>
  <c r="G593" i="1"/>
  <c r="F593" i="1"/>
  <c r="I566" i="1"/>
  <c r="H566" i="1"/>
  <c r="G566" i="1"/>
  <c r="F566" i="1"/>
  <c r="I539" i="1"/>
  <c r="H539" i="1"/>
  <c r="G539" i="1"/>
  <c r="F539" i="1"/>
  <c r="I512" i="1"/>
  <c r="H512" i="1"/>
  <c r="G512" i="1"/>
  <c r="F512" i="1"/>
  <c r="I485" i="1"/>
  <c r="H485" i="1"/>
  <c r="G485" i="1"/>
  <c r="F485" i="1"/>
  <c r="I458" i="1"/>
  <c r="H458" i="1"/>
  <c r="G458" i="1"/>
  <c r="F458" i="1"/>
  <c r="I431" i="1"/>
  <c r="H431" i="1"/>
  <c r="G431" i="1"/>
  <c r="F431" i="1"/>
  <c r="I404" i="1"/>
  <c r="H404" i="1"/>
  <c r="G404" i="1"/>
  <c r="F404" i="1"/>
  <c r="I377" i="1"/>
  <c r="H377" i="1"/>
  <c r="G377" i="1"/>
  <c r="F377" i="1"/>
  <c r="I350" i="1"/>
  <c r="H350" i="1"/>
  <c r="G350" i="1"/>
  <c r="F350" i="1"/>
  <c r="I326" i="1"/>
  <c r="H326" i="1"/>
  <c r="G326" i="1"/>
  <c r="F326" i="1"/>
  <c r="I299" i="1"/>
  <c r="H299" i="1"/>
  <c r="G299" i="1"/>
  <c r="F299" i="1"/>
  <c r="I272" i="1"/>
  <c r="H272" i="1"/>
  <c r="G272" i="1"/>
  <c r="F272" i="1"/>
  <c r="I245" i="1"/>
  <c r="H245" i="1"/>
  <c r="G245" i="1"/>
  <c r="F245" i="1"/>
  <c r="I218" i="1"/>
  <c r="H218" i="1"/>
  <c r="G218" i="1"/>
  <c r="F218" i="1"/>
  <c r="I191" i="1"/>
  <c r="H191" i="1"/>
  <c r="G191" i="1"/>
  <c r="F191" i="1"/>
  <c r="I164" i="1"/>
  <c r="H164" i="1"/>
  <c r="G164" i="1"/>
  <c r="F164" i="1"/>
  <c r="I137" i="1"/>
  <c r="H137" i="1"/>
  <c r="G137" i="1"/>
  <c r="F137" i="1"/>
  <c r="I110" i="1"/>
  <c r="H110" i="1"/>
  <c r="G110" i="1"/>
  <c r="F110" i="1"/>
  <c r="I83" i="1"/>
  <c r="H83" i="1"/>
  <c r="G83" i="1"/>
  <c r="F83" i="1"/>
  <c r="I56" i="1"/>
  <c r="H56" i="1"/>
  <c r="G56" i="1"/>
  <c r="F56" i="1"/>
  <c r="I29" i="1"/>
  <c r="H29" i="1"/>
  <c r="G29" i="1"/>
  <c r="F29" i="1"/>
  <c r="I2" i="1"/>
  <c r="H2" i="1"/>
  <c r="G2" i="1"/>
  <c r="F2" i="1"/>
  <c r="F3" i="1"/>
  <c r="I837" i="1"/>
  <c r="H837" i="1"/>
  <c r="G837" i="1"/>
  <c r="F837" i="1"/>
  <c r="I810" i="1"/>
  <c r="H810" i="1"/>
  <c r="G810" i="1"/>
  <c r="F810" i="1"/>
  <c r="I783" i="1"/>
  <c r="H783" i="1"/>
  <c r="G783" i="1"/>
  <c r="F783" i="1"/>
  <c r="I756" i="1"/>
  <c r="H756" i="1"/>
  <c r="G756" i="1"/>
  <c r="F756" i="1"/>
  <c r="I729" i="1"/>
  <c r="H729" i="1"/>
  <c r="G729" i="1"/>
  <c r="F729" i="1"/>
  <c r="I702" i="1"/>
  <c r="H702" i="1"/>
  <c r="G702" i="1"/>
  <c r="F702" i="1"/>
  <c r="I675" i="1"/>
  <c r="H675" i="1"/>
  <c r="G675" i="1"/>
  <c r="F675" i="1"/>
  <c r="I648" i="1"/>
  <c r="H648" i="1"/>
  <c r="G648" i="1"/>
  <c r="F648" i="1"/>
  <c r="I621" i="1"/>
  <c r="H621" i="1"/>
  <c r="G621" i="1"/>
  <c r="F621" i="1"/>
  <c r="I594" i="1"/>
  <c r="H594" i="1"/>
  <c r="G594" i="1"/>
  <c r="F594" i="1"/>
  <c r="I567" i="1"/>
  <c r="H567" i="1"/>
  <c r="G567" i="1"/>
  <c r="F567" i="1"/>
  <c r="I540" i="1"/>
  <c r="H540" i="1"/>
  <c r="G540" i="1"/>
  <c r="F540" i="1"/>
  <c r="I513" i="1"/>
  <c r="H513" i="1"/>
  <c r="G513" i="1"/>
  <c r="F513" i="1"/>
  <c r="I486" i="1"/>
  <c r="H486" i="1"/>
  <c r="G486" i="1"/>
  <c r="F486" i="1"/>
  <c r="I459" i="1"/>
  <c r="H459" i="1"/>
  <c r="G459" i="1"/>
  <c r="F459" i="1"/>
  <c r="I432" i="1"/>
  <c r="H432" i="1"/>
  <c r="G432" i="1"/>
  <c r="F432" i="1"/>
  <c r="I405" i="1"/>
  <c r="H405" i="1"/>
  <c r="G405" i="1"/>
  <c r="F405" i="1"/>
  <c r="I378" i="1"/>
  <c r="H378" i="1"/>
  <c r="G378" i="1"/>
  <c r="F378" i="1"/>
  <c r="I351" i="1"/>
  <c r="H351" i="1"/>
  <c r="G351" i="1"/>
  <c r="F351" i="1"/>
  <c r="I327" i="1"/>
  <c r="H327" i="1"/>
  <c r="G327" i="1"/>
  <c r="F327" i="1"/>
  <c r="I300" i="1"/>
  <c r="H300" i="1"/>
  <c r="G300" i="1"/>
  <c r="F300" i="1"/>
  <c r="I273" i="1"/>
  <c r="H273" i="1"/>
  <c r="G273" i="1"/>
  <c r="F273" i="1"/>
  <c r="I246" i="1"/>
  <c r="H246" i="1"/>
  <c r="G246" i="1"/>
  <c r="F246" i="1"/>
  <c r="I219" i="1"/>
  <c r="H219" i="1"/>
  <c r="G219" i="1"/>
  <c r="F219" i="1"/>
  <c r="I192" i="1"/>
  <c r="H192" i="1"/>
  <c r="G192" i="1"/>
  <c r="F192" i="1"/>
  <c r="I165" i="1"/>
  <c r="H165" i="1"/>
  <c r="G165" i="1"/>
  <c r="F165" i="1"/>
  <c r="I138" i="1"/>
  <c r="H138" i="1"/>
  <c r="G138" i="1"/>
  <c r="F138" i="1"/>
  <c r="I111" i="1"/>
  <c r="H111" i="1"/>
  <c r="G111" i="1"/>
  <c r="F111" i="1"/>
  <c r="I84" i="1"/>
  <c r="H84" i="1"/>
  <c r="G84" i="1"/>
  <c r="F84" i="1"/>
  <c r="I57" i="1"/>
  <c r="H57" i="1"/>
  <c r="G57" i="1"/>
  <c r="F57" i="1"/>
  <c r="I30" i="1"/>
  <c r="H30" i="1"/>
  <c r="G30" i="1"/>
  <c r="F30" i="1"/>
  <c r="I3" i="1"/>
  <c r="H3" i="1"/>
  <c r="G3" i="1"/>
  <c r="F4" i="1"/>
  <c r="I838" i="1"/>
  <c r="H838" i="1"/>
  <c r="G838" i="1"/>
  <c r="F838" i="1"/>
  <c r="I811" i="1"/>
  <c r="H811" i="1"/>
  <c r="G811" i="1"/>
  <c r="F811" i="1"/>
  <c r="I784" i="1"/>
  <c r="H784" i="1"/>
  <c r="G784" i="1"/>
  <c r="F784" i="1"/>
  <c r="I757" i="1"/>
  <c r="H757" i="1"/>
  <c r="G757" i="1"/>
  <c r="F757" i="1"/>
  <c r="I730" i="1"/>
  <c r="H730" i="1"/>
  <c r="G730" i="1"/>
  <c r="F730" i="1"/>
  <c r="I703" i="1"/>
  <c r="H703" i="1"/>
  <c r="G703" i="1"/>
  <c r="F703" i="1"/>
  <c r="I676" i="1"/>
  <c r="H676" i="1"/>
  <c r="G676" i="1"/>
  <c r="F676" i="1"/>
  <c r="I649" i="1"/>
  <c r="H649" i="1"/>
  <c r="G649" i="1"/>
  <c r="F649" i="1"/>
  <c r="I622" i="1"/>
  <c r="H622" i="1"/>
  <c r="G622" i="1"/>
  <c r="F622" i="1"/>
  <c r="I595" i="1"/>
  <c r="H595" i="1"/>
  <c r="G595" i="1"/>
  <c r="F595" i="1"/>
  <c r="I568" i="1"/>
  <c r="H568" i="1"/>
  <c r="G568" i="1"/>
  <c r="F568" i="1"/>
  <c r="I541" i="1"/>
  <c r="H541" i="1"/>
  <c r="G541" i="1"/>
  <c r="F541" i="1"/>
  <c r="I514" i="1"/>
  <c r="H514" i="1"/>
  <c r="G514" i="1"/>
  <c r="F514" i="1"/>
  <c r="I487" i="1"/>
  <c r="H487" i="1"/>
  <c r="G487" i="1"/>
  <c r="F487" i="1"/>
  <c r="I460" i="1"/>
  <c r="H460" i="1"/>
  <c r="G460" i="1"/>
  <c r="F460" i="1"/>
  <c r="I433" i="1"/>
  <c r="H433" i="1"/>
  <c r="G433" i="1"/>
  <c r="F433" i="1"/>
  <c r="I406" i="1"/>
  <c r="H406" i="1"/>
  <c r="G406" i="1"/>
  <c r="F406" i="1"/>
  <c r="I379" i="1"/>
  <c r="H379" i="1"/>
  <c r="G379" i="1"/>
  <c r="F379" i="1"/>
  <c r="I352" i="1"/>
  <c r="H352" i="1"/>
  <c r="G352" i="1"/>
  <c r="F352" i="1"/>
  <c r="I328" i="1"/>
  <c r="H328" i="1"/>
  <c r="G328" i="1"/>
  <c r="F328" i="1"/>
  <c r="I301" i="1"/>
  <c r="H301" i="1"/>
  <c r="G301" i="1"/>
  <c r="F301" i="1"/>
  <c r="I274" i="1"/>
  <c r="H274" i="1"/>
  <c r="G274" i="1"/>
  <c r="F274" i="1"/>
  <c r="I247" i="1"/>
  <c r="H247" i="1"/>
  <c r="G247" i="1"/>
  <c r="F247" i="1"/>
  <c r="I220" i="1"/>
  <c r="H220" i="1"/>
  <c r="G220" i="1"/>
  <c r="F220" i="1"/>
  <c r="I193" i="1"/>
  <c r="H193" i="1"/>
  <c r="G193" i="1"/>
  <c r="F193" i="1"/>
  <c r="I166" i="1"/>
  <c r="H166" i="1"/>
  <c r="G166" i="1"/>
  <c r="F166" i="1"/>
  <c r="I139" i="1"/>
  <c r="H139" i="1"/>
  <c r="G139" i="1"/>
  <c r="F139" i="1"/>
  <c r="I112" i="1"/>
  <c r="H112" i="1"/>
  <c r="G112" i="1"/>
  <c r="F112" i="1"/>
  <c r="I85" i="1"/>
  <c r="H85" i="1"/>
  <c r="G85" i="1"/>
  <c r="F85" i="1"/>
  <c r="I58" i="1"/>
  <c r="H58" i="1"/>
  <c r="G58" i="1"/>
  <c r="F58" i="1"/>
  <c r="I31" i="1"/>
  <c r="H31" i="1"/>
  <c r="G31" i="1"/>
  <c r="F31" i="1"/>
  <c r="I4" i="1"/>
  <c r="H4" i="1"/>
  <c r="G4" i="1"/>
  <c r="I839" i="1"/>
  <c r="H839" i="1"/>
  <c r="G839" i="1"/>
  <c r="F839" i="1"/>
  <c r="I812" i="1"/>
  <c r="H812" i="1"/>
  <c r="G812" i="1"/>
  <c r="F812" i="1"/>
  <c r="I785" i="1"/>
  <c r="H785" i="1"/>
  <c r="G785" i="1"/>
  <c r="F785" i="1"/>
  <c r="I758" i="1"/>
  <c r="H758" i="1"/>
  <c r="G758" i="1"/>
  <c r="F758" i="1"/>
  <c r="I731" i="1"/>
  <c r="H731" i="1"/>
  <c r="G731" i="1"/>
  <c r="F731" i="1"/>
  <c r="I704" i="1"/>
  <c r="H704" i="1"/>
  <c r="G704" i="1"/>
  <c r="F704" i="1"/>
  <c r="I677" i="1"/>
  <c r="H677" i="1"/>
  <c r="G677" i="1"/>
  <c r="F677" i="1"/>
  <c r="I650" i="1"/>
  <c r="H650" i="1"/>
  <c r="G650" i="1"/>
  <c r="F650" i="1"/>
  <c r="I623" i="1"/>
  <c r="H623" i="1"/>
  <c r="G623" i="1"/>
  <c r="F623" i="1"/>
  <c r="I596" i="1"/>
  <c r="H596" i="1"/>
  <c r="G596" i="1"/>
  <c r="F596" i="1"/>
  <c r="I569" i="1"/>
  <c r="H569" i="1"/>
  <c r="G569" i="1"/>
  <c r="F569" i="1"/>
  <c r="I542" i="1"/>
  <c r="H542" i="1"/>
  <c r="G542" i="1"/>
  <c r="F542" i="1"/>
  <c r="I515" i="1"/>
  <c r="H515" i="1"/>
  <c r="G515" i="1"/>
  <c r="F515" i="1"/>
  <c r="I488" i="1"/>
  <c r="H488" i="1"/>
  <c r="G488" i="1"/>
  <c r="F488" i="1"/>
  <c r="I461" i="1"/>
  <c r="H461" i="1"/>
  <c r="G461" i="1"/>
  <c r="F461" i="1"/>
  <c r="I434" i="1"/>
  <c r="H434" i="1"/>
  <c r="G434" i="1"/>
  <c r="F434" i="1"/>
  <c r="I407" i="1"/>
  <c r="H407" i="1"/>
  <c r="G407" i="1"/>
  <c r="F407" i="1"/>
  <c r="I380" i="1"/>
  <c r="H380" i="1"/>
  <c r="G380" i="1"/>
  <c r="F380" i="1"/>
  <c r="I353" i="1"/>
  <c r="H353" i="1"/>
  <c r="G353" i="1"/>
  <c r="F353" i="1"/>
  <c r="I329" i="1"/>
  <c r="H329" i="1"/>
  <c r="G329" i="1"/>
  <c r="F329" i="1"/>
  <c r="I302" i="1"/>
  <c r="H302" i="1"/>
  <c r="G302" i="1"/>
  <c r="F302" i="1"/>
  <c r="I275" i="1"/>
  <c r="H275" i="1"/>
  <c r="G275" i="1"/>
  <c r="F275" i="1"/>
  <c r="I248" i="1"/>
  <c r="H248" i="1"/>
  <c r="G248" i="1"/>
  <c r="F248" i="1"/>
  <c r="I221" i="1"/>
  <c r="H221" i="1"/>
  <c r="G221" i="1"/>
  <c r="F221" i="1"/>
  <c r="I194" i="1"/>
  <c r="H194" i="1"/>
  <c r="G194" i="1"/>
  <c r="F194" i="1"/>
  <c r="I167" i="1"/>
  <c r="H167" i="1"/>
  <c r="G167" i="1"/>
  <c r="F167" i="1"/>
  <c r="I140" i="1"/>
  <c r="H140" i="1"/>
  <c r="G140" i="1"/>
  <c r="F140" i="1"/>
  <c r="I113" i="1"/>
  <c r="H113" i="1"/>
  <c r="G113" i="1"/>
  <c r="F113" i="1"/>
  <c r="I86" i="1"/>
  <c r="H86" i="1"/>
  <c r="G86" i="1"/>
  <c r="F86" i="1"/>
  <c r="I59" i="1"/>
  <c r="H59" i="1"/>
  <c r="G59" i="1"/>
  <c r="F59" i="1"/>
  <c r="I32" i="1"/>
  <c r="H32" i="1"/>
  <c r="G32" i="1"/>
  <c r="F32" i="1"/>
  <c r="I5" i="1"/>
  <c r="H5" i="1"/>
  <c r="G5" i="1"/>
  <c r="F5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6" i="1"/>
  <c r="H28" i="1"/>
  <c r="H840" i="1"/>
  <c r="G840" i="1"/>
  <c r="F840" i="1"/>
  <c r="H825" i="1"/>
  <c r="G825" i="1"/>
  <c r="F825" i="1"/>
  <c r="F775" i="1"/>
  <c r="H624" i="1"/>
  <c r="G624" i="1"/>
  <c r="F624" i="1"/>
  <c r="H597" i="1"/>
  <c r="G597" i="1"/>
  <c r="F597" i="1"/>
  <c r="H570" i="1"/>
  <c r="G570" i="1"/>
  <c r="F570" i="1"/>
  <c r="H528" i="1"/>
  <c r="G528" i="1"/>
  <c r="F528" i="1"/>
  <c r="H516" i="1"/>
  <c r="G516" i="1"/>
  <c r="F516" i="1"/>
  <c r="H489" i="1"/>
  <c r="G489" i="1"/>
  <c r="F489" i="1"/>
  <c r="H435" i="1"/>
  <c r="G435" i="1"/>
  <c r="F435" i="1"/>
  <c r="H420" i="1"/>
  <c r="G420" i="1"/>
  <c r="F420" i="1"/>
  <c r="H408" i="1"/>
  <c r="G408" i="1"/>
  <c r="F408" i="1"/>
  <c r="H403" i="1"/>
  <c r="G403" i="1"/>
  <c r="F403" i="1"/>
  <c r="F349" i="1"/>
  <c r="G349" i="1"/>
  <c r="H349" i="1"/>
  <c r="F354" i="1"/>
  <c r="G354" i="1"/>
  <c r="H354" i="1"/>
  <c r="F355" i="1"/>
  <c r="G355" i="1"/>
  <c r="H355" i="1"/>
  <c r="F356" i="1"/>
  <c r="G356" i="1"/>
  <c r="H356" i="1"/>
  <c r="F357" i="1"/>
  <c r="G357" i="1"/>
  <c r="H357" i="1"/>
  <c r="F358" i="1"/>
  <c r="G358" i="1"/>
  <c r="H358" i="1"/>
  <c r="F359" i="1"/>
  <c r="G359" i="1"/>
  <c r="H359" i="1"/>
  <c r="F360" i="1"/>
  <c r="G360" i="1"/>
  <c r="H360" i="1"/>
  <c r="F361" i="1"/>
  <c r="G361" i="1"/>
  <c r="H361" i="1"/>
  <c r="F362" i="1"/>
  <c r="G362" i="1"/>
  <c r="H362" i="1"/>
  <c r="F363" i="1"/>
  <c r="G363" i="1"/>
  <c r="H363" i="1"/>
  <c r="F364" i="1"/>
  <c r="G364" i="1"/>
  <c r="H364" i="1"/>
  <c r="F365" i="1"/>
  <c r="G365" i="1"/>
  <c r="H365" i="1"/>
  <c r="F366" i="1"/>
  <c r="G366" i="1"/>
  <c r="H366" i="1"/>
  <c r="F367" i="1"/>
  <c r="G367" i="1"/>
  <c r="H367" i="1"/>
  <c r="F368" i="1"/>
  <c r="G368" i="1"/>
  <c r="H368" i="1"/>
  <c r="F369" i="1"/>
  <c r="G369" i="1"/>
  <c r="H369" i="1"/>
  <c r="F370" i="1"/>
  <c r="G370" i="1"/>
  <c r="H370" i="1"/>
  <c r="F371" i="1"/>
  <c r="G371" i="1"/>
  <c r="H371" i="1"/>
  <c r="F372" i="1"/>
  <c r="G372" i="1"/>
  <c r="H372" i="1"/>
  <c r="F373" i="1"/>
  <c r="G373" i="1"/>
  <c r="H373" i="1"/>
  <c r="F374" i="1"/>
  <c r="G374" i="1"/>
  <c r="H374" i="1"/>
  <c r="F375" i="1"/>
  <c r="G375" i="1"/>
  <c r="H375" i="1"/>
  <c r="F376" i="1"/>
  <c r="G376" i="1"/>
  <c r="H376" i="1"/>
  <c r="F381" i="1"/>
  <c r="G381" i="1"/>
  <c r="H381" i="1"/>
  <c r="F382" i="1"/>
  <c r="G382" i="1"/>
  <c r="H382" i="1"/>
  <c r="F383" i="1"/>
  <c r="G383" i="1"/>
  <c r="H383" i="1"/>
  <c r="F384" i="1"/>
  <c r="G384" i="1"/>
  <c r="H384" i="1"/>
  <c r="F385" i="1"/>
  <c r="G385" i="1"/>
  <c r="H385" i="1"/>
  <c r="F386" i="1"/>
  <c r="G386" i="1"/>
  <c r="H386" i="1"/>
  <c r="F387" i="1"/>
  <c r="G387" i="1"/>
  <c r="H387" i="1"/>
  <c r="F388" i="1"/>
  <c r="G388" i="1"/>
  <c r="H388" i="1"/>
  <c r="F389" i="1"/>
  <c r="G389" i="1"/>
  <c r="H389" i="1"/>
  <c r="F390" i="1"/>
  <c r="G390" i="1"/>
  <c r="H390" i="1"/>
  <c r="F391" i="1"/>
  <c r="G391" i="1"/>
  <c r="H391" i="1"/>
  <c r="F392" i="1"/>
  <c r="G392" i="1"/>
  <c r="H392" i="1"/>
  <c r="F393" i="1"/>
  <c r="G393" i="1"/>
  <c r="H393" i="1"/>
  <c r="F394" i="1"/>
  <c r="G394" i="1"/>
  <c r="H394" i="1"/>
  <c r="F395" i="1"/>
  <c r="G395" i="1"/>
  <c r="H395" i="1"/>
  <c r="F396" i="1"/>
  <c r="G396" i="1"/>
  <c r="H396" i="1"/>
  <c r="F397" i="1"/>
  <c r="G397" i="1"/>
  <c r="H397" i="1"/>
  <c r="F398" i="1"/>
  <c r="G398" i="1"/>
  <c r="H398" i="1"/>
  <c r="F399" i="1"/>
  <c r="G399" i="1"/>
  <c r="H399" i="1"/>
  <c r="F400" i="1"/>
  <c r="G400" i="1"/>
  <c r="H400" i="1"/>
  <c r="F401" i="1"/>
  <c r="G401" i="1"/>
  <c r="H401" i="1"/>
  <c r="F402" i="1"/>
  <c r="G402" i="1"/>
  <c r="H402" i="1"/>
  <c r="F409" i="1"/>
  <c r="G409" i="1"/>
  <c r="H409" i="1"/>
  <c r="F410" i="1"/>
  <c r="G410" i="1"/>
  <c r="H410" i="1"/>
  <c r="F411" i="1"/>
  <c r="G411" i="1"/>
  <c r="H411" i="1"/>
  <c r="F412" i="1"/>
  <c r="G412" i="1"/>
  <c r="H412" i="1"/>
  <c r="F413" i="1"/>
  <c r="G413" i="1"/>
  <c r="H413" i="1"/>
  <c r="F414" i="1"/>
  <c r="G414" i="1"/>
  <c r="H414" i="1"/>
  <c r="F415" i="1"/>
  <c r="G415" i="1"/>
  <c r="H415" i="1"/>
  <c r="F416" i="1"/>
  <c r="G416" i="1"/>
  <c r="H416" i="1"/>
  <c r="F417" i="1"/>
  <c r="G417" i="1"/>
  <c r="H417" i="1"/>
  <c r="F418" i="1"/>
  <c r="G418" i="1"/>
  <c r="H418" i="1"/>
  <c r="F419" i="1"/>
  <c r="G419" i="1"/>
  <c r="H419" i="1"/>
  <c r="F421" i="1"/>
  <c r="G421" i="1"/>
  <c r="H421" i="1"/>
  <c r="F422" i="1"/>
  <c r="G422" i="1"/>
  <c r="H422" i="1"/>
  <c r="F423" i="1"/>
  <c r="G423" i="1"/>
  <c r="H423" i="1"/>
  <c r="F424" i="1"/>
  <c r="G424" i="1"/>
  <c r="H424" i="1"/>
  <c r="F425" i="1"/>
  <c r="G425" i="1"/>
  <c r="H425" i="1"/>
  <c r="F426" i="1"/>
  <c r="G426" i="1"/>
  <c r="H426" i="1"/>
  <c r="F427" i="1"/>
  <c r="G427" i="1"/>
  <c r="H427" i="1"/>
  <c r="F428" i="1"/>
  <c r="G428" i="1"/>
  <c r="H428" i="1"/>
  <c r="F429" i="1"/>
  <c r="G429" i="1"/>
  <c r="H429" i="1"/>
  <c r="F430" i="1"/>
  <c r="G430" i="1"/>
  <c r="H430" i="1"/>
  <c r="F436" i="1"/>
  <c r="G436" i="1"/>
  <c r="H436" i="1"/>
  <c r="F437" i="1"/>
  <c r="G437" i="1"/>
  <c r="H437" i="1"/>
  <c r="F438" i="1"/>
  <c r="G438" i="1"/>
  <c r="H438" i="1"/>
  <c r="F439" i="1"/>
  <c r="G439" i="1"/>
  <c r="H439" i="1"/>
  <c r="F440" i="1"/>
  <c r="G440" i="1"/>
  <c r="H440" i="1"/>
  <c r="F441" i="1"/>
  <c r="G441" i="1"/>
  <c r="H441" i="1"/>
  <c r="F442" i="1"/>
  <c r="G442" i="1"/>
  <c r="H442" i="1"/>
  <c r="F443" i="1"/>
  <c r="G443" i="1"/>
  <c r="H443" i="1"/>
  <c r="F444" i="1"/>
  <c r="G444" i="1"/>
  <c r="H444" i="1"/>
  <c r="F445" i="1"/>
  <c r="G445" i="1"/>
  <c r="H445" i="1"/>
  <c r="F446" i="1"/>
  <c r="G446" i="1"/>
  <c r="H446" i="1"/>
  <c r="F447" i="1"/>
  <c r="G447" i="1"/>
  <c r="H447" i="1"/>
  <c r="F448" i="1"/>
  <c r="G448" i="1"/>
  <c r="H448" i="1"/>
  <c r="F449" i="1"/>
  <c r="G449" i="1"/>
  <c r="H449" i="1"/>
  <c r="F450" i="1"/>
  <c r="G450" i="1"/>
  <c r="H450" i="1"/>
  <c r="F451" i="1"/>
  <c r="G451" i="1"/>
  <c r="H451" i="1"/>
  <c r="F452" i="1"/>
  <c r="G452" i="1"/>
  <c r="H452" i="1"/>
  <c r="F453" i="1"/>
  <c r="G453" i="1"/>
  <c r="H453" i="1"/>
  <c r="F454" i="1"/>
  <c r="G454" i="1"/>
  <c r="H454" i="1"/>
  <c r="F455" i="1"/>
  <c r="G455" i="1"/>
  <c r="H455" i="1"/>
  <c r="F456" i="1"/>
  <c r="G456" i="1"/>
  <c r="H456" i="1"/>
  <c r="F457" i="1"/>
  <c r="G457" i="1"/>
  <c r="H457" i="1"/>
  <c r="F462" i="1"/>
  <c r="G462" i="1"/>
  <c r="H462" i="1"/>
  <c r="F463" i="1"/>
  <c r="G463" i="1"/>
  <c r="H463" i="1"/>
  <c r="F464" i="1"/>
  <c r="G464" i="1"/>
  <c r="H464" i="1"/>
  <c r="F465" i="1"/>
  <c r="G465" i="1"/>
  <c r="H465" i="1"/>
  <c r="F466" i="1"/>
  <c r="G466" i="1"/>
  <c r="H466" i="1"/>
  <c r="F467" i="1"/>
  <c r="G467" i="1"/>
  <c r="H467" i="1"/>
  <c r="F468" i="1"/>
  <c r="G468" i="1"/>
  <c r="H468" i="1"/>
  <c r="F469" i="1"/>
  <c r="G469" i="1"/>
  <c r="H469" i="1"/>
  <c r="F470" i="1"/>
  <c r="G470" i="1"/>
  <c r="H470" i="1"/>
  <c r="F471" i="1"/>
  <c r="G471" i="1"/>
  <c r="H471" i="1"/>
  <c r="F472" i="1"/>
  <c r="G472" i="1"/>
  <c r="H472" i="1"/>
  <c r="F473" i="1"/>
  <c r="G473" i="1"/>
  <c r="H473" i="1"/>
  <c r="F474" i="1"/>
  <c r="G474" i="1"/>
  <c r="H474" i="1"/>
  <c r="F475" i="1"/>
  <c r="G475" i="1"/>
  <c r="H475" i="1"/>
  <c r="F476" i="1"/>
  <c r="G476" i="1"/>
  <c r="H476" i="1"/>
  <c r="F477" i="1"/>
  <c r="G477" i="1"/>
  <c r="H477" i="1"/>
  <c r="F478" i="1"/>
  <c r="G478" i="1"/>
  <c r="H478" i="1"/>
  <c r="F479" i="1"/>
  <c r="G479" i="1"/>
  <c r="H479" i="1"/>
  <c r="F480" i="1"/>
  <c r="G480" i="1"/>
  <c r="H480" i="1"/>
  <c r="F481" i="1"/>
  <c r="G481" i="1"/>
  <c r="H481" i="1"/>
  <c r="F482" i="1"/>
  <c r="G482" i="1"/>
  <c r="H482" i="1"/>
  <c r="F483" i="1"/>
  <c r="G483" i="1"/>
  <c r="H483" i="1"/>
  <c r="F484" i="1"/>
  <c r="G484" i="1"/>
  <c r="H484" i="1"/>
  <c r="F490" i="1"/>
  <c r="G490" i="1"/>
  <c r="H490" i="1"/>
  <c r="F491" i="1"/>
  <c r="G491" i="1"/>
  <c r="H491" i="1"/>
  <c r="F492" i="1"/>
  <c r="G492" i="1"/>
  <c r="H492" i="1"/>
  <c r="F493" i="1"/>
  <c r="G493" i="1"/>
  <c r="H493" i="1"/>
  <c r="F494" i="1"/>
  <c r="G494" i="1"/>
  <c r="H494" i="1"/>
  <c r="F495" i="1"/>
  <c r="G495" i="1"/>
  <c r="H495" i="1"/>
  <c r="F496" i="1"/>
  <c r="G496" i="1"/>
  <c r="H496" i="1"/>
  <c r="F497" i="1"/>
  <c r="G497" i="1"/>
  <c r="H497" i="1"/>
  <c r="F498" i="1"/>
  <c r="G498" i="1"/>
  <c r="H498" i="1"/>
  <c r="F499" i="1"/>
  <c r="G499" i="1"/>
  <c r="H499" i="1"/>
  <c r="F500" i="1"/>
  <c r="G500" i="1"/>
  <c r="H500" i="1"/>
  <c r="F501" i="1"/>
  <c r="G501" i="1"/>
  <c r="H501" i="1"/>
  <c r="F502" i="1"/>
  <c r="G502" i="1"/>
  <c r="H502" i="1"/>
  <c r="F503" i="1"/>
  <c r="G503" i="1"/>
  <c r="H503" i="1"/>
  <c r="F504" i="1"/>
  <c r="G504" i="1"/>
  <c r="H504" i="1"/>
  <c r="F505" i="1"/>
  <c r="G505" i="1"/>
  <c r="H505" i="1"/>
  <c r="F506" i="1"/>
  <c r="G506" i="1"/>
  <c r="H506" i="1"/>
  <c r="F507" i="1"/>
  <c r="G507" i="1"/>
  <c r="H507" i="1"/>
  <c r="F508" i="1"/>
  <c r="G508" i="1"/>
  <c r="H508" i="1"/>
  <c r="F509" i="1"/>
  <c r="G509" i="1"/>
  <c r="H509" i="1"/>
  <c r="F510" i="1"/>
  <c r="G510" i="1"/>
  <c r="H510" i="1"/>
  <c r="F511" i="1"/>
  <c r="G511" i="1"/>
  <c r="H511" i="1"/>
  <c r="F517" i="1"/>
  <c r="G517" i="1"/>
  <c r="H517" i="1"/>
  <c r="F518" i="1"/>
  <c r="G518" i="1"/>
  <c r="H518" i="1"/>
  <c r="F519" i="1"/>
  <c r="G519" i="1"/>
  <c r="H519" i="1"/>
  <c r="F520" i="1"/>
  <c r="G520" i="1"/>
  <c r="H520" i="1"/>
  <c r="F521" i="1"/>
  <c r="G521" i="1"/>
  <c r="H521" i="1"/>
  <c r="F522" i="1"/>
  <c r="G522" i="1"/>
  <c r="H522" i="1"/>
  <c r="F523" i="1"/>
  <c r="G523" i="1"/>
  <c r="H523" i="1"/>
  <c r="F524" i="1"/>
  <c r="G524" i="1"/>
  <c r="H524" i="1"/>
  <c r="F525" i="1"/>
  <c r="G525" i="1"/>
  <c r="H525" i="1"/>
  <c r="F526" i="1"/>
  <c r="G526" i="1"/>
  <c r="H526" i="1"/>
  <c r="F527" i="1"/>
  <c r="G527" i="1"/>
  <c r="H527" i="1"/>
  <c r="F529" i="1"/>
  <c r="G529" i="1"/>
  <c r="H529" i="1"/>
  <c r="F530" i="1"/>
  <c r="G530" i="1"/>
  <c r="H530" i="1"/>
  <c r="F531" i="1"/>
  <c r="G531" i="1"/>
  <c r="H531" i="1"/>
  <c r="F532" i="1"/>
  <c r="G532" i="1"/>
  <c r="H532" i="1"/>
  <c r="F533" i="1"/>
  <c r="G533" i="1"/>
  <c r="H533" i="1"/>
  <c r="F534" i="1"/>
  <c r="G534" i="1"/>
  <c r="H534" i="1"/>
  <c r="F535" i="1"/>
  <c r="G535" i="1"/>
  <c r="H535" i="1"/>
  <c r="F536" i="1"/>
  <c r="G536" i="1"/>
  <c r="H536" i="1"/>
  <c r="F537" i="1"/>
  <c r="G537" i="1"/>
  <c r="H537" i="1"/>
  <c r="F538" i="1"/>
  <c r="G538" i="1"/>
  <c r="H538" i="1"/>
  <c r="F543" i="1"/>
  <c r="G543" i="1"/>
  <c r="H543" i="1"/>
  <c r="F544" i="1"/>
  <c r="G544" i="1"/>
  <c r="H544" i="1"/>
  <c r="F545" i="1"/>
  <c r="G545" i="1"/>
  <c r="H545" i="1"/>
  <c r="F546" i="1"/>
  <c r="G546" i="1"/>
  <c r="H546" i="1"/>
  <c r="F547" i="1"/>
  <c r="G547" i="1"/>
  <c r="H547" i="1"/>
  <c r="F548" i="1"/>
  <c r="G548" i="1"/>
  <c r="H548" i="1"/>
  <c r="F549" i="1"/>
  <c r="G549" i="1"/>
  <c r="H549" i="1"/>
  <c r="F550" i="1"/>
  <c r="G550" i="1"/>
  <c r="H550" i="1"/>
  <c r="F551" i="1"/>
  <c r="G551" i="1"/>
  <c r="H551" i="1"/>
  <c r="F552" i="1"/>
  <c r="G552" i="1"/>
  <c r="H552" i="1"/>
  <c r="F553" i="1"/>
  <c r="G553" i="1"/>
  <c r="H553" i="1"/>
  <c r="F554" i="1"/>
  <c r="G554" i="1"/>
  <c r="H554" i="1"/>
  <c r="F555" i="1"/>
  <c r="G555" i="1"/>
  <c r="H555" i="1"/>
  <c r="F556" i="1"/>
  <c r="G556" i="1"/>
  <c r="H556" i="1"/>
  <c r="F557" i="1"/>
  <c r="G557" i="1"/>
  <c r="H557" i="1"/>
  <c r="F558" i="1"/>
  <c r="G558" i="1"/>
  <c r="H558" i="1"/>
  <c r="F559" i="1"/>
  <c r="G559" i="1"/>
  <c r="H559" i="1"/>
  <c r="F560" i="1"/>
  <c r="G560" i="1"/>
  <c r="H560" i="1"/>
  <c r="F561" i="1"/>
  <c r="G561" i="1"/>
  <c r="H561" i="1"/>
  <c r="F562" i="1"/>
  <c r="G562" i="1"/>
  <c r="H562" i="1"/>
  <c r="F563" i="1"/>
  <c r="G563" i="1"/>
  <c r="H563" i="1"/>
  <c r="F564" i="1"/>
  <c r="G564" i="1"/>
  <c r="H564" i="1"/>
  <c r="F565" i="1"/>
  <c r="G565" i="1"/>
  <c r="H565" i="1"/>
  <c r="F571" i="1"/>
  <c r="G571" i="1"/>
  <c r="H571" i="1"/>
  <c r="F572" i="1"/>
  <c r="G572" i="1"/>
  <c r="H572" i="1"/>
  <c r="F573" i="1"/>
  <c r="G573" i="1"/>
  <c r="H573" i="1"/>
  <c r="F574" i="1"/>
  <c r="G574" i="1"/>
  <c r="H574" i="1"/>
  <c r="F575" i="1"/>
  <c r="G575" i="1"/>
  <c r="H575" i="1"/>
  <c r="F576" i="1"/>
  <c r="G576" i="1"/>
  <c r="H576" i="1"/>
  <c r="F577" i="1"/>
  <c r="G577" i="1"/>
  <c r="H577" i="1"/>
  <c r="F578" i="1"/>
  <c r="G578" i="1"/>
  <c r="H578" i="1"/>
  <c r="F579" i="1"/>
  <c r="G579" i="1"/>
  <c r="H579" i="1"/>
  <c r="F580" i="1"/>
  <c r="G580" i="1"/>
  <c r="H580" i="1"/>
  <c r="F581" i="1"/>
  <c r="G581" i="1"/>
  <c r="H581" i="1"/>
  <c r="F582" i="1"/>
  <c r="G582" i="1"/>
  <c r="H582" i="1"/>
  <c r="F583" i="1"/>
  <c r="G583" i="1"/>
  <c r="H583" i="1"/>
  <c r="F584" i="1"/>
  <c r="G584" i="1"/>
  <c r="H584" i="1"/>
  <c r="F585" i="1"/>
  <c r="G585" i="1"/>
  <c r="H585" i="1"/>
  <c r="F586" i="1"/>
  <c r="G586" i="1"/>
  <c r="H586" i="1"/>
  <c r="F587" i="1"/>
  <c r="G587" i="1"/>
  <c r="H587" i="1"/>
  <c r="F588" i="1"/>
  <c r="G588" i="1"/>
  <c r="H588" i="1"/>
  <c r="F589" i="1"/>
  <c r="G589" i="1"/>
  <c r="H589" i="1"/>
  <c r="F590" i="1"/>
  <c r="G590" i="1"/>
  <c r="H590" i="1"/>
  <c r="F591" i="1"/>
  <c r="G591" i="1"/>
  <c r="H591" i="1"/>
  <c r="F592" i="1"/>
  <c r="G592" i="1"/>
  <c r="H592" i="1"/>
  <c r="F598" i="1"/>
  <c r="G598" i="1"/>
  <c r="H598" i="1"/>
  <c r="F599" i="1"/>
  <c r="G599" i="1"/>
  <c r="H599" i="1"/>
  <c r="F600" i="1"/>
  <c r="G600" i="1"/>
  <c r="H600" i="1"/>
  <c r="F601" i="1"/>
  <c r="G601" i="1"/>
  <c r="H601" i="1"/>
  <c r="F602" i="1"/>
  <c r="G602" i="1"/>
  <c r="H602" i="1"/>
  <c r="F603" i="1"/>
  <c r="G603" i="1"/>
  <c r="H603" i="1"/>
  <c r="F604" i="1"/>
  <c r="G604" i="1"/>
  <c r="H604" i="1"/>
  <c r="F605" i="1"/>
  <c r="G605" i="1"/>
  <c r="H605" i="1"/>
  <c r="F606" i="1"/>
  <c r="G606" i="1"/>
  <c r="H606" i="1"/>
  <c r="F607" i="1"/>
  <c r="G607" i="1"/>
  <c r="H607" i="1"/>
  <c r="F608" i="1"/>
  <c r="G608" i="1"/>
  <c r="H608" i="1"/>
  <c r="F609" i="1"/>
  <c r="G609" i="1"/>
  <c r="H609" i="1"/>
  <c r="F610" i="1"/>
  <c r="G610" i="1"/>
  <c r="H610" i="1"/>
  <c r="F611" i="1"/>
  <c r="G611" i="1"/>
  <c r="H611" i="1"/>
  <c r="F612" i="1"/>
  <c r="G612" i="1"/>
  <c r="H612" i="1"/>
  <c r="F613" i="1"/>
  <c r="G613" i="1"/>
  <c r="H613" i="1"/>
  <c r="F614" i="1"/>
  <c r="G614" i="1"/>
  <c r="H614" i="1"/>
  <c r="F615" i="1"/>
  <c r="G615" i="1"/>
  <c r="H615" i="1"/>
  <c r="F616" i="1"/>
  <c r="G616" i="1"/>
  <c r="H616" i="1"/>
  <c r="F617" i="1"/>
  <c r="G617" i="1"/>
  <c r="H617" i="1"/>
  <c r="F618" i="1"/>
  <c r="G618" i="1"/>
  <c r="H618" i="1"/>
  <c r="F619" i="1"/>
  <c r="G619" i="1"/>
  <c r="H619" i="1"/>
  <c r="F625" i="1"/>
  <c r="G625" i="1"/>
  <c r="H625" i="1"/>
  <c r="F626" i="1"/>
  <c r="G626" i="1"/>
  <c r="H626" i="1"/>
  <c r="F627" i="1"/>
  <c r="G627" i="1"/>
  <c r="H627" i="1"/>
  <c r="F628" i="1"/>
  <c r="G628" i="1"/>
  <c r="H628" i="1"/>
  <c r="F629" i="1"/>
  <c r="G629" i="1"/>
  <c r="H629" i="1"/>
  <c r="F630" i="1"/>
  <c r="G630" i="1"/>
  <c r="H630" i="1"/>
  <c r="F631" i="1"/>
  <c r="G631" i="1"/>
  <c r="H631" i="1"/>
  <c r="F632" i="1"/>
  <c r="G632" i="1"/>
  <c r="H632" i="1"/>
  <c r="F633" i="1"/>
  <c r="G633" i="1"/>
  <c r="H633" i="1"/>
  <c r="F634" i="1"/>
  <c r="G634" i="1"/>
  <c r="H634" i="1"/>
  <c r="F635" i="1"/>
  <c r="G635" i="1"/>
  <c r="H635" i="1"/>
  <c r="F636" i="1"/>
  <c r="G636" i="1"/>
  <c r="H636" i="1"/>
  <c r="F637" i="1"/>
  <c r="G637" i="1"/>
  <c r="H637" i="1"/>
  <c r="F638" i="1"/>
  <c r="G638" i="1"/>
  <c r="H638" i="1"/>
  <c r="F639" i="1"/>
  <c r="G639" i="1"/>
  <c r="H639" i="1"/>
  <c r="F640" i="1"/>
  <c r="G640" i="1"/>
  <c r="H640" i="1"/>
  <c r="F641" i="1"/>
  <c r="G641" i="1"/>
  <c r="H641" i="1"/>
  <c r="F642" i="1"/>
  <c r="G642" i="1"/>
  <c r="H642" i="1"/>
  <c r="F643" i="1"/>
  <c r="G643" i="1"/>
  <c r="H643" i="1"/>
  <c r="F644" i="1"/>
  <c r="G644" i="1"/>
  <c r="H644" i="1"/>
  <c r="F645" i="1"/>
  <c r="G645" i="1"/>
  <c r="H645" i="1"/>
  <c r="F646" i="1"/>
  <c r="G646" i="1"/>
  <c r="H646" i="1"/>
  <c r="F651" i="1"/>
  <c r="G651" i="1"/>
  <c r="H651" i="1"/>
  <c r="F652" i="1"/>
  <c r="G652" i="1"/>
  <c r="H652" i="1"/>
  <c r="F653" i="1"/>
  <c r="G653" i="1"/>
  <c r="H653" i="1"/>
  <c r="F654" i="1"/>
  <c r="G654" i="1"/>
  <c r="H654" i="1"/>
  <c r="F655" i="1"/>
  <c r="G655" i="1"/>
  <c r="H655" i="1"/>
  <c r="F656" i="1"/>
  <c r="G656" i="1"/>
  <c r="H656" i="1"/>
  <c r="F657" i="1"/>
  <c r="G657" i="1"/>
  <c r="H657" i="1"/>
  <c r="F658" i="1"/>
  <c r="G658" i="1"/>
  <c r="H658" i="1"/>
  <c r="F659" i="1"/>
  <c r="G659" i="1"/>
  <c r="H659" i="1"/>
  <c r="F660" i="1"/>
  <c r="G660" i="1"/>
  <c r="H660" i="1"/>
  <c r="F661" i="1"/>
  <c r="G661" i="1"/>
  <c r="H661" i="1"/>
  <c r="F662" i="1"/>
  <c r="G662" i="1"/>
  <c r="H662" i="1"/>
  <c r="F663" i="1"/>
  <c r="G663" i="1"/>
  <c r="H663" i="1"/>
  <c r="F664" i="1"/>
  <c r="G664" i="1"/>
  <c r="H664" i="1"/>
  <c r="F665" i="1"/>
  <c r="G665" i="1"/>
  <c r="H665" i="1"/>
  <c r="F666" i="1"/>
  <c r="G666" i="1"/>
  <c r="H666" i="1"/>
  <c r="F667" i="1"/>
  <c r="G667" i="1"/>
  <c r="H667" i="1"/>
  <c r="F668" i="1"/>
  <c r="G668" i="1"/>
  <c r="H668" i="1"/>
  <c r="F669" i="1"/>
  <c r="G669" i="1"/>
  <c r="H669" i="1"/>
  <c r="F670" i="1"/>
  <c r="G670" i="1"/>
  <c r="H670" i="1"/>
  <c r="F671" i="1"/>
  <c r="G671" i="1"/>
  <c r="H671" i="1"/>
  <c r="F672" i="1"/>
  <c r="G672" i="1"/>
  <c r="H672" i="1"/>
  <c r="F673" i="1"/>
  <c r="G673" i="1"/>
  <c r="H673" i="1"/>
  <c r="F678" i="1"/>
  <c r="G678" i="1"/>
  <c r="H678" i="1"/>
  <c r="F679" i="1"/>
  <c r="G679" i="1"/>
  <c r="H679" i="1"/>
  <c r="F680" i="1"/>
  <c r="G680" i="1"/>
  <c r="H680" i="1"/>
  <c r="F681" i="1"/>
  <c r="G681" i="1"/>
  <c r="H681" i="1"/>
  <c r="F682" i="1"/>
  <c r="G682" i="1"/>
  <c r="H682" i="1"/>
  <c r="F683" i="1"/>
  <c r="G683" i="1"/>
  <c r="H683" i="1"/>
  <c r="F684" i="1"/>
  <c r="G684" i="1"/>
  <c r="H684" i="1"/>
  <c r="F685" i="1"/>
  <c r="G685" i="1"/>
  <c r="H685" i="1"/>
  <c r="F686" i="1"/>
  <c r="G686" i="1"/>
  <c r="H686" i="1"/>
  <c r="F687" i="1"/>
  <c r="G687" i="1"/>
  <c r="H687" i="1"/>
  <c r="F688" i="1"/>
  <c r="G688" i="1"/>
  <c r="H688" i="1"/>
  <c r="F689" i="1"/>
  <c r="G689" i="1"/>
  <c r="H689" i="1"/>
  <c r="F690" i="1"/>
  <c r="G690" i="1"/>
  <c r="H690" i="1"/>
  <c r="F691" i="1"/>
  <c r="G691" i="1"/>
  <c r="H691" i="1"/>
  <c r="F692" i="1"/>
  <c r="G692" i="1"/>
  <c r="H692" i="1"/>
  <c r="F693" i="1"/>
  <c r="G693" i="1"/>
  <c r="H693" i="1"/>
  <c r="F694" i="1"/>
  <c r="G694" i="1"/>
  <c r="H694" i="1"/>
  <c r="F695" i="1"/>
  <c r="G695" i="1"/>
  <c r="H695" i="1"/>
  <c r="F696" i="1"/>
  <c r="G696" i="1"/>
  <c r="H696" i="1"/>
  <c r="F697" i="1"/>
  <c r="G697" i="1"/>
  <c r="H697" i="1"/>
  <c r="F698" i="1"/>
  <c r="G698" i="1"/>
  <c r="H698" i="1"/>
  <c r="F699" i="1"/>
  <c r="G699" i="1"/>
  <c r="H699" i="1"/>
  <c r="F700" i="1"/>
  <c r="G700" i="1"/>
  <c r="H700" i="1"/>
  <c r="F705" i="1"/>
  <c r="G705" i="1"/>
  <c r="H705" i="1"/>
  <c r="F706" i="1"/>
  <c r="G706" i="1"/>
  <c r="H706" i="1"/>
  <c r="F707" i="1"/>
  <c r="G707" i="1"/>
  <c r="H707" i="1"/>
  <c r="F708" i="1"/>
  <c r="G708" i="1"/>
  <c r="H708" i="1"/>
  <c r="F709" i="1"/>
  <c r="G709" i="1"/>
  <c r="H709" i="1"/>
  <c r="F710" i="1"/>
  <c r="G710" i="1"/>
  <c r="H710" i="1"/>
  <c r="F711" i="1"/>
  <c r="G711" i="1"/>
  <c r="H711" i="1"/>
  <c r="F712" i="1"/>
  <c r="G712" i="1"/>
  <c r="H712" i="1"/>
  <c r="F713" i="1"/>
  <c r="G713" i="1"/>
  <c r="H713" i="1"/>
  <c r="F714" i="1"/>
  <c r="G714" i="1"/>
  <c r="H714" i="1"/>
  <c r="F715" i="1"/>
  <c r="G715" i="1"/>
  <c r="H715" i="1"/>
  <c r="F716" i="1"/>
  <c r="G716" i="1"/>
  <c r="H716" i="1"/>
  <c r="F717" i="1"/>
  <c r="G717" i="1"/>
  <c r="H717" i="1"/>
  <c r="F718" i="1"/>
  <c r="G718" i="1"/>
  <c r="H718" i="1"/>
  <c r="F719" i="1"/>
  <c r="G719" i="1"/>
  <c r="H719" i="1"/>
  <c r="F720" i="1"/>
  <c r="G720" i="1"/>
  <c r="H720" i="1"/>
  <c r="F721" i="1"/>
  <c r="G721" i="1"/>
  <c r="H721" i="1"/>
  <c r="F722" i="1"/>
  <c r="G722" i="1"/>
  <c r="H722" i="1"/>
  <c r="F723" i="1"/>
  <c r="G723" i="1"/>
  <c r="H723" i="1"/>
  <c r="F724" i="1"/>
  <c r="G724" i="1"/>
  <c r="H724" i="1"/>
  <c r="F725" i="1"/>
  <c r="G725" i="1"/>
  <c r="H725" i="1"/>
  <c r="F726" i="1"/>
  <c r="G726" i="1"/>
  <c r="H726" i="1"/>
  <c r="F727" i="1"/>
  <c r="G727" i="1"/>
  <c r="H727" i="1"/>
  <c r="F732" i="1"/>
  <c r="G732" i="1"/>
  <c r="H732" i="1"/>
  <c r="F733" i="1"/>
  <c r="G733" i="1"/>
  <c r="H733" i="1"/>
  <c r="F734" i="1"/>
  <c r="G734" i="1"/>
  <c r="H734" i="1"/>
  <c r="F735" i="1"/>
  <c r="G735" i="1"/>
  <c r="H735" i="1"/>
  <c r="F736" i="1"/>
  <c r="G736" i="1"/>
  <c r="H736" i="1"/>
  <c r="F737" i="1"/>
  <c r="G737" i="1"/>
  <c r="H737" i="1"/>
  <c r="F738" i="1"/>
  <c r="G738" i="1"/>
  <c r="H738" i="1"/>
  <c r="F739" i="1"/>
  <c r="G739" i="1"/>
  <c r="H739" i="1"/>
  <c r="F740" i="1"/>
  <c r="G740" i="1"/>
  <c r="H740" i="1"/>
  <c r="F741" i="1"/>
  <c r="G741" i="1"/>
  <c r="H741" i="1"/>
  <c r="F742" i="1"/>
  <c r="G742" i="1"/>
  <c r="H742" i="1"/>
  <c r="F743" i="1"/>
  <c r="G743" i="1"/>
  <c r="H743" i="1"/>
  <c r="F744" i="1"/>
  <c r="G744" i="1"/>
  <c r="H744" i="1"/>
  <c r="F745" i="1"/>
  <c r="G745" i="1"/>
  <c r="H745" i="1"/>
  <c r="F746" i="1"/>
  <c r="G746" i="1"/>
  <c r="H746" i="1"/>
  <c r="F747" i="1"/>
  <c r="G747" i="1"/>
  <c r="H747" i="1"/>
  <c r="F748" i="1"/>
  <c r="G748" i="1"/>
  <c r="H748" i="1"/>
  <c r="F749" i="1"/>
  <c r="G749" i="1"/>
  <c r="H749" i="1"/>
  <c r="F750" i="1"/>
  <c r="G750" i="1"/>
  <c r="H750" i="1"/>
  <c r="F751" i="1"/>
  <c r="G751" i="1"/>
  <c r="H751" i="1"/>
  <c r="F752" i="1"/>
  <c r="G752" i="1"/>
  <c r="H752" i="1"/>
  <c r="F753" i="1"/>
  <c r="G753" i="1"/>
  <c r="H753" i="1"/>
  <c r="F754" i="1"/>
  <c r="G754" i="1"/>
  <c r="H754" i="1"/>
  <c r="F759" i="1"/>
  <c r="G759" i="1"/>
  <c r="H759" i="1"/>
  <c r="F760" i="1"/>
  <c r="G760" i="1"/>
  <c r="H760" i="1"/>
  <c r="F761" i="1"/>
  <c r="G761" i="1"/>
  <c r="H761" i="1"/>
  <c r="F762" i="1"/>
  <c r="G762" i="1"/>
  <c r="H762" i="1"/>
  <c r="F763" i="1"/>
  <c r="G763" i="1"/>
  <c r="H763" i="1"/>
  <c r="F764" i="1"/>
  <c r="G764" i="1"/>
  <c r="H764" i="1"/>
  <c r="F765" i="1"/>
  <c r="G765" i="1"/>
  <c r="H765" i="1"/>
  <c r="F766" i="1"/>
  <c r="G766" i="1"/>
  <c r="H766" i="1"/>
  <c r="F767" i="1"/>
  <c r="G767" i="1"/>
  <c r="H767" i="1"/>
  <c r="F768" i="1"/>
  <c r="G768" i="1"/>
  <c r="H768" i="1"/>
  <c r="F769" i="1"/>
  <c r="G769" i="1"/>
  <c r="H769" i="1"/>
  <c r="F770" i="1"/>
  <c r="G770" i="1"/>
  <c r="H770" i="1"/>
  <c r="F771" i="1"/>
  <c r="G771" i="1"/>
  <c r="H771" i="1"/>
  <c r="F772" i="1"/>
  <c r="G772" i="1"/>
  <c r="H772" i="1"/>
  <c r="F773" i="1"/>
  <c r="G773" i="1"/>
  <c r="H773" i="1"/>
  <c r="F774" i="1"/>
  <c r="G774" i="1"/>
  <c r="H774" i="1"/>
  <c r="G775" i="1"/>
  <c r="H775" i="1"/>
  <c r="F776" i="1"/>
  <c r="G776" i="1"/>
  <c r="H776" i="1"/>
  <c r="F777" i="1"/>
  <c r="G777" i="1"/>
  <c r="H777" i="1"/>
  <c r="F778" i="1"/>
  <c r="G778" i="1"/>
  <c r="H778" i="1"/>
  <c r="F779" i="1"/>
  <c r="G779" i="1"/>
  <c r="H779" i="1"/>
  <c r="F780" i="1"/>
  <c r="G780" i="1"/>
  <c r="H780" i="1"/>
  <c r="F781" i="1"/>
  <c r="G781" i="1"/>
  <c r="H781" i="1"/>
  <c r="F786" i="1"/>
  <c r="G786" i="1"/>
  <c r="H786" i="1"/>
  <c r="F787" i="1"/>
  <c r="G787" i="1"/>
  <c r="H787" i="1"/>
  <c r="F788" i="1"/>
  <c r="G788" i="1"/>
  <c r="H788" i="1"/>
  <c r="F789" i="1"/>
  <c r="G789" i="1"/>
  <c r="H789" i="1"/>
  <c r="F790" i="1"/>
  <c r="G790" i="1"/>
  <c r="H790" i="1"/>
  <c r="F791" i="1"/>
  <c r="G791" i="1"/>
  <c r="H791" i="1"/>
  <c r="F792" i="1"/>
  <c r="G792" i="1"/>
  <c r="H792" i="1"/>
  <c r="F793" i="1"/>
  <c r="G793" i="1"/>
  <c r="H793" i="1"/>
  <c r="F794" i="1"/>
  <c r="G794" i="1"/>
  <c r="H794" i="1"/>
  <c r="F795" i="1"/>
  <c r="G795" i="1"/>
  <c r="H795" i="1"/>
  <c r="F796" i="1"/>
  <c r="G796" i="1"/>
  <c r="H796" i="1"/>
  <c r="F797" i="1"/>
  <c r="G797" i="1"/>
  <c r="H797" i="1"/>
  <c r="F798" i="1"/>
  <c r="G798" i="1"/>
  <c r="H798" i="1"/>
  <c r="F799" i="1"/>
  <c r="G799" i="1"/>
  <c r="H799" i="1"/>
  <c r="F800" i="1"/>
  <c r="G800" i="1"/>
  <c r="H800" i="1"/>
  <c r="F801" i="1"/>
  <c r="G801" i="1"/>
  <c r="H801" i="1"/>
  <c r="F802" i="1"/>
  <c r="G802" i="1"/>
  <c r="H802" i="1"/>
  <c r="F803" i="1"/>
  <c r="G803" i="1"/>
  <c r="H803" i="1"/>
  <c r="F804" i="1"/>
  <c r="G804" i="1"/>
  <c r="H804" i="1"/>
  <c r="F805" i="1"/>
  <c r="G805" i="1"/>
  <c r="H805" i="1"/>
  <c r="F806" i="1"/>
  <c r="G806" i="1"/>
  <c r="H806" i="1"/>
  <c r="F807" i="1"/>
  <c r="G807" i="1"/>
  <c r="H807" i="1"/>
  <c r="F808" i="1"/>
  <c r="G808" i="1"/>
  <c r="H808" i="1"/>
  <c r="F813" i="1"/>
  <c r="G813" i="1"/>
  <c r="H813" i="1"/>
  <c r="F814" i="1"/>
  <c r="G814" i="1"/>
  <c r="H814" i="1"/>
  <c r="F815" i="1"/>
  <c r="G815" i="1"/>
  <c r="H815" i="1"/>
  <c r="F816" i="1"/>
  <c r="G816" i="1"/>
  <c r="H816" i="1"/>
  <c r="F817" i="1"/>
  <c r="G817" i="1"/>
  <c r="H817" i="1"/>
  <c r="F818" i="1"/>
  <c r="G818" i="1"/>
  <c r="H818" i="1"/>
  <c r="F819" i="1"/>
  <c r="G819" i="1"/>
  <c r="H819" i="1"/>
  <c r="F820" i="1"/>
  <c r="G820" i="1"/>
  <c r="H820" i="1"/>
  <c r="F821" i="1"/>
  <c r="G821" i="1"/>
  <c r="H821" i="1"/>
  <c r="F822" i="1"/>
  <c r="G822" i="1"/>
  <c r="H822" i="1"/>
  <c r="F823" i="1"/>
  <c r="G823" i="1"/>
  <c r="H823" i="1"/>
  <c r="F824" i="1"/>
  <c r="G824" i="1"/>
  <c r="H824" i="1"/>
  <c r="F826" i="1"/>
  <c r="G826" i="1"/>
  <c r="H826" i="1"/>
  <c r="F827" i="1"/>
  <c r="G827" i="1"/>
  <c r="H827" i="1"/>
  <c r="F828" i="1"/>
  <c r="G828" i="1"/>
  <c r="H828" i="1"/>
  <c r="F829" i="1"/>
  <c r="G829" i="1"/>
  <c r="H829" i="1"/>
  <c r="F830" i="1"/>
  <c r="G830" i="1"/>
  <c r="H830" i="1"/>
  <c r="F831" i="1"/>
  <c r="G831" i="1"/>
  <c r="H831" i="1"/>
  <c r="F832" i="1"/>
  <c r="G832" i="1"/>
  <c r="H832" i="1"/>
  <c r="F833" i="1"/>
  <c r="G833" i="1"/>
  <c r="H833" i="1"/>
  <c r="F834" i="1"/>
  <c r="G834" i="1"/>
  <c r="H834" i="1"/>
  <c r="F835" i="1"/>
  <c r="G835" i="1"/>
  <c r="H835" i="1"/>
  <c r="F841" i="1"/>
  <c r="G841" i="1"/>
  <c r="H841" i="1"/>
  <c r="F842" i="1"/>
  <c r="G842" i="1"/>
  <c r="H842" i="1"/>
  <c r="F843" i="1"/>
  <c r="G843" i="1"/>
  <c r="H843" i="1"/>
  <c r="F844" i="1"/>
  <c r="G844" i="1"/>
  <c r="H844" i="1"/>
  <c r="F845" i="1"/>
  <c r="G845" i="1"/>
  <c r="H845" i="1"/>
  <c r="F846" i="1"/>
  <c r="G846" i="1"/>
  <c r="H846" i="1"/>
  <c r="F847" i="1"/>
  <c r="G847" i="1"/>
  <c r="H847" i="1"/>
  <c r="F848" i="1"/>
  <c r="G848" i="1"/>
  <c r="H848" i="1"/>
  <c r="F849" i="1"/>
  <c r="G849" i="1"/>
  <c r="H849" i="1"/>
  <c r="F850" i="1"/>
  <c r="G850" i="1"/>
  <c r="H850" i="1"/>
  <c r="F851" i="1"/>
  <c r="G851" i="1"/>
  <c r="H851" i="1"/>
  <c r="F852" i="1"/>
  <c r="G852" i="1"/>
  <c r="H852" i="1"/>
  <c r="F853" i="1"/>
  <c r="G853" i="1"/>
  <c r="H853" i="1"/>
  <c r="F854" i="1"/>
  <c r="G854" i="1"/>
  <c r="H854" i="1"/>
  <c r="F855" i="1"/>
  <c r="G855" i="1"/>
  <c r="H855" i="1"/>
  <c r="F856" i="1"/>
  <c r="G856" i="1"/>
  <c r="H856" i="1"/>
  <c r="F857" i="1"/>
  <c r="G857" i="1"/>
  <c r="H857" i="1"/>
  <c r="F858" i="1"/>
  <c r="G858" i="1"/>
  <c r="H858" i="1"/>
  <c r="F859" i="1"/>
  <c r="G859" i="1"/>
  <c r="H859" i="1"/>
  <c r="F860" i="1"/>
  <c r="G860" i="1"/>
  <c r="H860" i="1"/>
  <c r="F861" i="1"/>
  <c r="G861" i="1"/>
  <c r="H861" i="1"/>
  <c r="F862" i="1"/>
  <c r="G862" i="1"/>
  <c r="H862" i="1"/>
  <c r="H298" i="1"/>
  <c r="G298" i="1"/>
  <c r="F298" i="1"/>
  <c r="H271" i="1"/>
  <c r="G271" i="1"/>
  <c r="F271" i="1"/>
  <c r="H270" i="1"/>
  <c r="G270" i="1"/>
  <c r="F270" i="1"/>
  <c r="H268" i="1"/>
  <c r="G268" i="1"/>
  <c r="F268" i="1"/>
  <c r="H267" i="1"/>
  <c r="G267" i="1"/>
  <c r="F267" i="1"/>
  <c r="H266" i="1"/>
  <c r="G266" i="1"/>
  <c r="F266" i="1"/>
  <c r="H265" i="1"/>
  <c r="G265" i="1"/>
  <c r="F265" i="1"/>
  <c r="H264" i="1"/>
  <c r="G264" i="1"/>
  <c r="F264" i="1"/>
  <c r="H261" i="1"/>
  <c r="G261" i="1"/>
  <c r="F261" i="1"/>
  <c r="H215" i="1"/>
  <c r="G215" i="1"/>
  <c r="F215" i="1"/>
  <c r="H214" i="1"/>
  <c r="G214" i="1"/>
  <c r="F214" i="1"/>
  <c r="H213" i="1"/>
  <c r="G213" i="1"/>
  <c r="F213" i="1"/>
  <c r="H211" i="1"/>
  <c r="G211" i="1"/>
  <c r="F211" i="1"/>
  <c r="H209" i="1"/>
  <c r="G209" i="1"/>
  <c r="F209" i="1"/>
  <c r="H168" i="1"/>
  <c r="G168" i="1"/>
  <c r="F168" i="1"/>
  <c r="H163" i="1"/>
  <c r="G163" i="1"/>
  <c r="F163" i="1"/>
  <c r="H162" i="1"/>
  <c r="G162" i="1"/>
  <c r="F162" i="1"/>
  <c r="H161" i="1"/>
  <c r="G161" i="1"/>
  <c r="F161" i="1"/>
  <c r="H160" i="1"/>
  <c r="G160" i="1"/>
  <c r="F160" i="1"/>
  <c r="H158" i="1"/>
  <c r="G158" i="1"/>
  <c r="F158" i="1"/>
  <c r="H157" i="1"/>
  <c r="G157" i="1"/>
  <c r="F157" i="1"/>
  <c r="H156" i="1"/>
  <c r="G156" i="1"/>
  <c r="F156" i="1"/>
  <c r="H155" i="1"/>
  <c r="G155" i="1"/>
  <c r="F155" i="1"/>
  <c r="H154" i="1"/>
  <c r="G154" i="1"/>
  <c r="F154" i="1"/>
  <c r="H135" i="1"/>
  <c r="G135" i="1"/>
  <c r="F135" i="1"/>
  <c r="H133" i="1"/>
  <c r="G133" i="1"/>
  <c r="F133" i="1"/>
  <c r="H132" i="1"/>
  <c r="G132" i="1"/>
  <c r="F132" i="1"/>
  <c r="H131" i="1"/>
  <c r="G131" i="1"/>
  <c r="F131" i="1"/>
  <c r="H130" i="1"/>
  <c r="G130" i="1"/>
  <c r="F130" i="1"/>
  <c r="H129" i="1"/>
  <c r="G129" i="1"/>
  <c r="F129" i="1"/>
  <c r="H128" i="1"/>
  <c r="G128" i="1"/>
  <c r="F128" i="1"/>
  <c r="H127" i="1"/>
  <c r="G127" i="1"/>
  <c r="F127" i="1"/>
  <c r="H114" i="1"/>
  <c r="G114" i="1"/>
  <c r="F114" i="1"/>
  <c r="H107" i="1"/>
  <c r="G107" i="1"/>
  <c r="F107" i="1"/>
  <c r="H106" i="1"/>
  <c r="G106" i="1"/>
  <c r="F106" i="1"/>
  <c r="H104" i="1"/>
  <c r="G104" i="1"/>
  <c r="F104" i="1"/>
  <c r="H87" i="1"/>
  <c r="G87" i="1"/>
  <c r="F87" i="1"/>
  <c r="H73" i="1"/>
  <c r="G73" i="1"/>
  <c r="F73" i="1"/>
  <c r="H72" i="1"/>
  <c r="G72" i="1"/>
  <c r="F72" i="1"/>
  <c r="H60" i="1"/>
  <c r="G60" i="1"/>
  <c r="F60" i="1"/>
  <c r="H50" i="1"/>
  <c r="G50" i="1"/>
  <c r="F50" i="1"/>
  <c r="H49" i="1"/>
  <c r="G49" i="1"/>
  <c r="F49" i="1"/>
  <c r="H46" i="1"/>
  <c r="G46" i="1"/>
  <c r="F4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7" i="1"/>
  <c r="F48" i="1"/>
  <c r="F51" i="1"/>
  <c r="F52" i="1"/>
  <c r="F53" i="1"/>
  <c r="F54" i="1"/>
  <c r="F55" i="1"/>
  <c r="F61" i="1"/>
  <c r="F62" i="1"/>
  <c r="F63" i="1"/>
  <c r="F64" i="1"/>
  <c r="F65" i="1"/>
  <c r="F66" i="1"/>
  <c r="F67" i="1"/>
  <c r="F68" i="1"/>
  <c r="F69" i="1"/>
  <c r="F70" i="1"/>
  <c r="F71" i="1"/>
  <c r="F74" i="1"/>
  <c r="F75" i="1"/>
  <c r="F76" i="1"/>
  <c r="F77" i="1"/>
  <c r="F78" i="1"/>
  <c r="F79" i="1"/>
  <c r="F80" i="1"/>
  <c r="F81" i="1"/>
  <c r="F82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5" i="1"/>
  <c r="F108" i="1"/>
  <c r="F109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34" i="1"/>
  <c r="F136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9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10" i="1"/>
  <c r="F212" i="1"/>
  <c r="F216" i="1"/>
  <c r="F217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2" i="1"/>
  <c r="F263" i="1"/>
  <c r="F269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6" i="1"/>
  <c r="H22" i="1"/>
  <c r="G22" i="1"/>
  <c r="H20" i="1"/>
  <c r="G20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1" i="1"/>
  <c r="H21" i="1"/>
  <c r="G23" i="1"/>
  <c r="H23" i="1"/>
  <c r="G24" i="1"/>
  <c r="H24" i="1"/>
  <c r="G25" i="1"/>
  <c r="H25" i="1"/>
  <c r="G26" i="1"/>
  <c r="H26" i="1"/>
  <c r="G27" i="1"/>
  <c r="H27" i="1"/>
  <c r="G28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7" i="1"/>
  <c r="H47" i="1"/>
  <c r="G48" i="1"/>
  <c r="H48" i="1"/>
  <c r="G51" i="1"/>
  <c r="H51" i="1"/>
  <c r="G52" i="1"/>
  <c r="H52" i="1"/>
  <c r="G53" i="1"/>
  <c r="H53" i="1"/>
  <c r="G54" i="1"/>
  <c r="H54" i="1"/>
  <c r="G55" i="1"/>
  <c r="H55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G70" i="1"/>
  <c r="H70" i="1"/>
  <c r="G71" i="1"/>
  <c r="H71" i="1"/>
  <c r="G74" i="1"/>
  <c r="H74" i="1"/>
  <c r="G75" i="1"/>
  <c r="H75" i="1"/>
  <c r="G76" i="1"/>
  <c r="H76" i="1"/>
  <c r="G77" i="1"/>
  <c r="H77" i="1"/>
  <c r="G78" i="1"/>
  <c r="H78" i="1"/>
  <c r="G79" i="1"/>
  <c r="H79" i="1"/>
  <c r="G80" i="1"/>
  <c r="H80" i="1"/>
  <c r="G81" i="1"/>
  <c r="H81" i="1"/>
  <c r="G82" i="1"/>
  <c r="H82" i="1"/>
  <c r="G88" i="1"/>
  <c r="H88" i="1"/>
  <c r="G89" i="1"/>
  <c r="H89" i="1"/>
  <c r="G90" i="1"/>
  <c r="H90" i="1"/>
  <c r="G91" i="1"/>
  <c r="H91" i="1"/>
  <c r="G92" i="1"/>
  <c r="H92" i="1"/>
  <c r="G93" i="1"/>
  <c r="H93" i="1"/>
  <c r="G94" i="1"/>
  <c r="H94" i="1"/>
  <c r="G95" i="1"/>
  <c r="H95" i="1"/>
  <c r="G96" i="1"/>
  <c r="H96" i="1"/>
  <c r="G97" i="1"/>
  <c r="H97" i="1"/>
  <c r="G98" i="1"/>
  <c r="H98" i="1"/>
  <c r="G99" i="1"/>
  <c r="H99" i="1"/>
  <c r="G100" i="1"/>
  <c r="H100" i="1"/>
  <c r="G101" i="1"/>
  <c r="H101" i="1"/>
  <c r="G102" i="1"/>
  <c r="H102" i="1"/>
  <c r="G103" i="1"/>
  <c r="H103" i="1"/>
  <c r="G105" i="1"/>
  <c r="H105" i="1"/>
  <c r="G108" i="1"/>
  <c r="H108" i="1"/>
  <c r="G109" i="1"/>
  <c r="H109" i="1"/>
  <c r="G115" i="1"/>
  <c r="H115" i="1"/>
  <c r="G116" i="1"/>
  <c r="H116" i="1"/>
  <c r="G117" i="1"/>
  <c r="H117" i="1"/>
  <c r="G118" i="1"/>
  <c r="H118" i="1"/>
  <c r="G119" i="1"/>
  <c r="H119" i="1"/>
  <c r="G120" i="1"/>
  <c r="H120" i="1"/>
  <c r="G121" i="1"/>
  <c r="H121" i="1"/>
  <c r="G122" i="1"/>
  <c r="H122" i="1"/>
  <c r="G123" i="1"/>
  <c r="H123" i="1"/>
  <c r="G124" i="1"/>
  <c r="H124" i="1"/>
  <c r="G125" i="1"/>
  <c r="H125" i="1"/>
  <c r="G126" i="1"/>
  <c r="H126" i="1"/>
  <c r="G134" i="1"/>
  <c r="H134" i="1"/>
  <c r="G136" i="1"/>
  <c r="H136" i="1"/>
  <c r="G141" i="1"/>
  <c r="H141" i="1"/>
  <c r="G142" i="1"/>
  <c r="H142" i="1"/>
  <c r="G143" i="1"/>
  <c r="H143" i="1"/>
  <c r="G144" i="1"/>
  <c r="H144" i="1"/>
  <c r="G145" i="1"/>
  <c r="H145" i="1"/>
  <c r="G146" i="1"/>
  <c r="H146" i="1"/>
  <c r="G147" i="1"/>
  <c r="H147" i="1"/>
  <c r="G148" i="1"/>
  <c r="H148" i="1"/>
  <c r="G149" i="1"/>
  <c r="H149" i="1"/>
  <c r="G150" i="1"/>
  <c r="H150" i="1"/>
  <c r="G151" i="1"/>
  <c r="H151" i="1"/>
  <c r="G152" i="1"/>
  <c r="H152" i="1"/>
  <c r="G153" i="1"/>
  <c r="H153" i="1"/>
  <c r="G159" i="1"/>
  <c r="H159" i="1"/>
  <c r="G169" i="1"/>
  <c r="H169" i="1"/>
  <c r="G170" i="1"/>
  <c r="H170" i="1"/>
  <c r="G171" i="1"/>
  <c r="H171" i="1"/>
  <c r="G172" i="1"/>
  <c r="H172" i="1"/>
  <c r="G173" i="1"/>
  <c r="H173" i="1"/>
  <c r="G174" i="1"/>
  <c r="H174" i="1"/>
  <c r="G175" i="1"/>
  <c r="H175" i="1"/>
  <c r="G176" i="1"/>
  <c r="H176" i="1"/>
  <c r="G177" i="1"/>
  <c r="H177" i="1"/>
  <c r="G178" i="1"/>
  <c r="H178" i="1"/>
  <c r="G179" i="1"/>
  <c r="H179" i="1"/>
  <c r="G180" i="1"/>
  <c r="H180" i="1"/>
  <c r="G181" i="1"/>
  <c r="H181" i="1"/>
  <c r="G182" i="1"/>
  <c r="H182" i="1"/>
  <c r="G183" i="1"/>
  <c r="H183" i="1"/>
  <c r="G184" i="1"/>
  <c r="H184" i="1"/>
  <c r="G185" i="1"/>
  <c r="H185" i="1"/>
  <c r="G186" i="1"/>
  <c r="H186" i="1"/>
  <c r="G187" i="1"/>
  <c r="H187" i="1"/>
  <c r="G188" i="1"/>
  <c r="H188" i="1"/>
  <c r="G189" i="1"/>
  <c r="H189" i="1"/>
  <c r="G190" i="1"/>
  <c r="H190" i="1"/>
  <c r="G195" i="1"/>
  <c r="H195" i="1"/>
  <c r="G196" i="1"/>
  <c r="H196" i="1"/>
  <c r="G197" i="1"/>
  <c r="H197" i="1"/>
  <c r="G198" i="1"/>
  <c r="H198" i="1"/>
  <c r="G199" i="1"/>
  <c r="H199" i="1"/>
  <c r="G200" i="1"/>
  <c r="H200" i="1"/>
  <c r="G201" i="1"/>
  <c r="H201" i="1"/>
  <c r="G202" i="1"/>
  <c r="H202" i="1"/>
  <c r="G203" i="1"/>
  <c r="H203" i="1"/>
  <c r="G204" i="1"/>
  <c r="H204" i="1"/>
  <c r="G205" i="1"/>
  <c r="H205" i="1"/>
  <c r="G206" i="1"/>
  <c r="H206" i="1"/>
  <c r="G207" i="1"/>
  <c r="H207" i="1"/>
  <c r="G208" i="1"/>
  <c r="H208" i="1"/>
  <c r="G210" i="1"/>
  <c r="H210" i="1"/>
  <c r="G212" i="1"/>
  <c r="H212" i="1"/>
  <c r="G216" i="1"/>
  <c r="H216" i="1"/>
  <c r="G217" i="1"/>
  <c r="H217" i="1"/>
  <c r="G222" i="1"/>
  <c r="H222" i="1"/>
  <c r="G223" i="1"/>
  <c r="H223" i="1"/>
  <c r="G224" i="1"/>
  <c r="H224" i="1"/>
  <c r="G225" i="1"/>
  <c r="H225" i="1"/>
  <c r="G226" i="1"/>
  <c r="H226" i="1"/>
  <c r="G227" i="1"/>
  <c r="H227" i="1"/>
  <c r="G228" i="1"/>
  <c r="H228" i="1"/>
  <c r="G229" i="1"/>
  <c r="H229" i="1"/>
  <c r="G230" i="1"/>
  <c r="H230" i="1"/>
  <c r="G231" i="1"/>
  <c r="H231" i="1"/>
  <c r="G232" i="1"/>
  <c r="H232" i="1"/>
  <c r="G233" i="1"/>
  <c r="H233" i="1"/>
  <c r="G234" i="1"/>
  <c r="H234" i="1"/>
  <c r="G235" i="1"/>
  <c r="H235" i="1"/>
  <c r="G236" i="1"/>
  <c r="H236" i="1"/>
  <c r="G237" i="1"/>
  <c r="H237" i="1"/>
  <c r="G238" i="1"/>
  <c r="H238" i="1"/>
  <c r="G239" i="1"/>
  <c r="H239" i="1"/>
  <c r="G240" i="1"/>
  <c r="H240" i="1"/>
  <c r="G241" i="1"/>
  <c r="H241" i="1"/>
  <c r="G242" i="1"/>
  <c r="H242" i="1"/>
  <c r="G243" i="1"/>
  <c r="H243" i="1"/>
  <c r="G244" i="1"/>
  <c r="H244" i="1"/>
  <c r="G249" i="1"/>
  <c r="H249" i="1"/>
  <c r="G250" i="1"/>
  <c r="H250" i="1"/>
  <c r="G251" i="1"/>
  <c r="H251" i="1"/>
  <c r="G252" i="1"/>
  <c r="H252" i="1"/>
  <c r="G253" i="1"/>
  <c r="H253" i="1"/>
  <c r="G254" i="1"/>
  <c r="H254" i="1"/>
  <c r="G255" i="1"/>
  <c r="H255" i="1"/>
  <c r="G256" i="1"/>
  <c r="H256" i="1"/>
  <c r="G257" i="1"/>
  <c r="H257" i="1"/>
  <c r="G258" i="1"/>
  <c r="H258" i="1"/>
  <c r="G259" i="1"/>
  <c r="H259" i="1"/>
  <c r="G260" i="1"/>
  <c r="H260" i="1"/>
  <c r="G262" i="1"/>
  <c r="H262" i="1"/>
  <c r="G263" i="1"/>
  <c r="H263" i="1"/>
  <c r="G269" i="1"/>
  <c r="H269" i="1"/>
  <c r="G276" i="1"/>
  <c r="H276" i="1"/>
  <c r="G277" i="1"/>
  <c r="H277" i="1"/>
  <c r="G278" i="1"/>
  <c r="H278" i="1"/>
  <c r="G279" i="1"/>
  <c r="H279" i="1"/>
  <c r="G280" i="1"/>
  <c r="H280" i="1"/>
  <c r="G281" i="1"/>
  <c r="H281" i="1"/>
  <c r="G282" i="1"/>
  <c r="H282" i="1"/>
  <c r="G283" i="1"/>
  <c r="H283" i="1"/>
  <c r="G284" i="1"/>
  <c r="H284" i="1"/>
  <c r="G285" i="1"/>
  <c r="H285" i="1"/>
  <c r="G286" i="1"/>
  <c r="H286" i="1"/>
  <c r="G287" i="1"/>
  <c r="H287" i="1"/>
  <c r="G288" i="1"/>
  <c r="H288" i="1"/>
  <c r="G289" i="1"/>
  <c r="H289" i="1"/>
  <c r="G290" i="1"/>
  <c r="H290" i="1"/>
  <c r="G291" i="1"/>
  <c r="H291" i="1"/>
  <c r="G292" i="1"/>
  <c r="H292" i="1"/>
  <c r="G293" i="1"/>
  <c r="H293" i="1"/>
  <c r="G294" i="1"/>
  <c r="H294" i="1"/>
  <c r="G295" i="1"/>
  <c r="H295" i="1"/>
  <c r="G296" i="1"/>
  <c r="H296" i="1"/>
  <c r="G297" i="1"/>
  <c r="H297" i="1"/>
  <c r="G303" i="1"/>
  <c r="H303" i="1"/>
  <c r="G304" i="1"/>
  <c r="H304" i="1"/>
  <c r="G305" i="1"/>
  <c r="H305" i="1"/>
  <c r="G306" i="1"/>
  <c r="H306" i="1"/>
  <c r="G307" i="1"/>
  <c r="H307" i="1"/>
  <c r="G308" i="1"/>
  <c r="H308" i="1"/>
  <c r="G309" i="1"/>
  <c r="H309" i="1"/>
  <c r="G310" i="1"/>
  <c r="H310" i="1"/>
  <c r="G311" i="1"/>
  <c r="H311" i="1"/>
  <c r="G312" i="1"/>
  <c r="H312" i="1"/>
  <c r="G313" i="1"/>
  <c r="H313" i="1"/>
  <c r="G314" i="1"/>
  <c r="H314" i="1"/>
  <c r="G315" i="1"/>
  <c r="H315" i="1"/>
  <c r="G316" i="1"/>
  <c r="H316" i="1"/>
  <c r="G317" i="1"/>
  <c r="H317" i="1"/>
  <c r="G318" i="1"/>
  <c r="H318" i="1"/>
  <c r="G319" i="1"/>
  <c r="H319" i="1"/>
  <c r="G320" i="1"/>
  <c r="H320" i="1"/>
  <c r="G321" i="1"/>
  <c r="H321" i="1"/>
  <c r="G322" i="1"/>
  <c r="H322" i="1"/>
  <c r="G323" i="1"/>
  <c r="H323" i="1"/>
  <c r="G324" i="1"/>
  <c r="H324" i="1"/>
  <c r="G325" i="1"/>
  <c r="H325" i="1"/>
  <c r="G330" i="1"/>
  <c r="H330" i="1"/>
  <c r="G331" i="1"/>
  <c r="H331" i="1"/>
  <c r="G332" i="1"/>
  <c r="H332" i="1"/>
  <c r="G333" i="1"/>
  <c r="H333" i="1"/>
  <c r="G334" i="1"/>
  <c r="H334" i="1"/>
  <c r="G335" i="1"/>
  <c r="H335" i="1"/>
  <c r="G336" i="1"/>
  <c r="H336" i="1"/>
  <c r="G337" i="1"/>
  <c r="H337" i="1"/>
  <c r="G338" i="1"/>
  <c r="H338" i="1"/>
  <c r="G339" i="1"/>
  <c r="H339" i="1"/>
  <c r="G340" i="1"/>
  <c r="H340" i="1"/>
  <c r="G341" i="1"/>
  <c r="H341" i="1"/>
  <c r="G342" i="1"/>
  <c r="H342" i="1"/>
  <c r="G343" i="1"/>
  <c r="H343" i="1"/>
  <c r="G344" i="1"/>
  <c r="H344" i="1"/>
  <c r="G345" i="1"/>
  <c r="H345" i="1"/>
  <c r="G346" i="1"/>
  <c r="H346" i="1"/>
  <c r="G347" i="1"/>
  <c r="H347" i="1"/>
  <c r="G348" i="1"/>
  <c r="H348" i="1"/>
  <c r="H6" i="1"/>
  <c r="G6" i="1"/>
  <c r="C41" i="3"/>
  <c r="C48" i="3" s="1"/>
  <c r="C45" i="3"/>
  <c r="C21" i="3"/>
  <c r="C31" i="3" s="1"/>
  <c r="G48" i="3"/>
  <c r="F48" i="3"/>
  <c r="E48" i="3"/>
  <c r="D48" i="3"/>
  <c r="G47" i="3"/>
  <c r="F47" i="3"/>
  <c r="E47" i="3"/>
  <c r="D47" i="3"/>
  <c r="G46" i="3"/>
  <c r="F46" i="3"/>
  <c r="E46" i="3"/>
  <c r="D46" i="3"/>
  <c r="C46" i="3"/>
  <c r="G33" i="3"/>
  <c r="F33" i="3"/>
  <c r="E33" i="3"/>
  <c r="D33" i="3"/>
  <c r="G32" i="3"/>
  <c r="F32" i="3"/>
  <c r="E32" i="3"/>
  <c r="D32" i="3"/>
  <c r="C32" i="3"/>
  <c r="G31" i="3"/>
  <c r="F31" i="3"/>
  <c r="E31" i="3"/>
  <c r="D31" i="3"/>
  <c r="M15" i="3"/>
  <c r="N15" i="3"/>
  <c r="O15" i="3"/>
  <c r="P15" i="3"/>
  <c r="M16" i="3"/>
  <c r="N16" i="3"/>
  <c r="O16" i="3"/>
  <c r="P16" i="3"/>
  <c r="M17" i="3"/>
  <c r="N17" i="3"/>
  <c r="O17" i="3"/>
  <c r="P17" i="3"/>
  <c r="D16" i="3"/>
  <c r="E16" i="3"/>
  <c r="F16" i="3"/>
  <c r="G16" i="3"/>
  <c r="D15" i="3"/>
  <c r="E15" i="3"/>
  <c r="F15" i="3"/>
  <c r="G15" i="3"/>
  <c r="D14" i="3"/>
  <c r="E14" i="3"/>
  <c r="F14" i="3"/>
  <c r="G14" i="3"/>
  <c r="L7" i="3"/>
  <c r="L10" i="3"/>
  <c r="L12" i="3"/>
  <c r="L5" i="3"/>
  <c r="L4" i="3"/>
  <c r="L3" i="3"/>
  <c r="L9" i="3"/>
  <c r="L13" i="3"/>
  <c r="C13" i="3"/>
  <c r="C11" i="3"/>
  <c r="C10" i="3"/>
  <c r="C8" i="3"/>
  <c r="C9" i="3"/>
  <c r="C12" i="3"/>
  <c r="C7" i="3"/>
  <c r="C6" i="3"/>
  <c r="C5" i="3"/>
  <c r="C4" i="3"/>
  <c r="C3" i="3"/>
  <c r="I35" i="2"/>
  <c r="I34" i="2"/>
  <c r="B34" i="2"/>
  <c r="I33" i="2"/>
  <c r="I31" i="2"/>
  <c r="I29" i="2"/>
  <c r="I28" i="2"/>
  <c r="I27" i="2"/>
  <c r="I26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2" i="2"/>
  <c r="I22" i="2"/>
  <c r="E21" i="2"/>
  <c r="I20" i="2"/>
  <c r="I19" i="2"/>
  <c r="I18" i="2"/>
  <c r="I17" i="2"/>
  <c r="E17" i="2"/>
  <c r="I16" i="2"/>
  <c r="K5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4" i="2"/>
  <c r="K3" i="2"/>
  <c r="K2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2" i="2"/>
  <c r="E15" i="2"/>
  <c r="E14" i="2"/>
  <c r="I13" i="2"/>
  <c r="I12" i="2"/>
  <c r="E10" i="2"/>
  <c r="I10" i="2"/>
  <c r="L10" i="2"/>
  <c r="L8" i="2"/>
  <c r="I7" i="2"/>
  <c r="I6" i="2"/>
  <c r="I5" i="2"/>
  <c r="E4" i="2"/>
  <c r="I4" i="2"/>
  <c r="L4" i="2"/>
  <c r="I2" i="2"/>
  <c r="C47" i="3" l="1"/>
  <c r="C33" i="3"/>
  <c r="L17" i="3"/>
  <c r="C14" i="3"/>
  <c r="C15" i="3"/>
  <c r="C16" i="3"/>
  <c r="L15" i="3"/>
  <c r="L16" i="3"/>
</calcChain>
</file>

<file path=xl/sharedStrings.xml><?xml version="1.0" encoding="utf-8"?>
<sst xmlns="http://schemas.openxmlformats.org/spreadsheetml/2006/main" count="6598" uniqueCount="695">
  <si>
    <t>HC</t>
  </si>
  <si>
    <t>OC</t>
  </si>
  <si>
    <t>DC</t>
  </si>
  <si>
    <t>HCChange</t>
  </si>
  <si>
    <t>OCChange</t>
  </si>
  <si>
    <t>DCChange</t>
  </si>
  <si>
    <t>Sean McDermott</t>
  </si>
  <si>
    <t>Team</t>
  </si>
  <si>
    <t>BUF</t>
  </si>
  <si>
    <t>Brian Daboll</t>
  </si>
  <si>
    <t>Leslie Frazier</t>
  </si>
  <si>
    <t>Rick Dennison</t>
  </si>
  <si>
    <t>Rex Ryan</t>
  </si>
  <si>
    <t>Greg Roman</t>
  </si>
  <si>
    <t>Dennis Thurman</t>
  </si>
  <si>
    <t>Doug Marrone</t>
  </si>
  <si>
    <t>Nathaniel Hackett</t>
  </si>
  <si>
    <t>Mike Pettine</t>
  </si>
  <si>
    <t>Chan Gailey</t>
  </si>
  <si>
    <t>Curtis Modkins</t>
  </si>
  <si>
    <t>Dave Wannstedt</t>
  </si>
  <si>
    <t>George Edwards</t>
  </si>
  <si>
    <t>NE</t>
  </si>
  <si>
    <t>Bill Belichick</t>
  </si>
  <si>
    <t>Josh McDaniels</t>
  </si>
  <si>
    <t>Matt Patricia</t>
  </si>
  <si>
    <t>Bill O'Brien</t>
  </si>
  <si>
    <t>MIA</t>
  </si>
  <si>
    <t>NYJ</t>
  </si>
  <si>
    <t>LAC</t>
  </si>
  <si>
    <t>DEN</t>
  </si>
  <si>
    <t>JAX</t>
  </si>
  <si>
    <t>IND</t>
  </si>
  <si>
    <t>TEN</t>
  </si>
  <si>
    <t>Brian Flores</t>
  </si>
  <si>
    <t>Josh Boyer</t>
  </si>
  <si>
    <t>Chad O'Shea</t>
  </si>
  <si>
    <t>Patrick Graham</t>
  </si>
  <si>
    <t>Adam Gase</t>
  </si>
  <si>
    <t>Dowell Loggains</t>
  </si>
  <si>
    <t>Matt Burke</t>
  </si>
  <si>
    <t>Clyde Christensen</t>
  </si>
  <si>
    <t>Vance Joseph</t>
  </si>
  <si>
    <t>Joe Philbin</t>
  </si>
  <si>
    <t>Bill Lazor</t>
  </si>
  <si>
    <t>Kevin Coyle</t>
  </si>
  <si>
    <t>Mike Sherman</t>
  </si>
  <si>
    <t>Tony Sparano</t>
  </si>
  <si>
    <t>Dan Henning</t>
  </si>
  <si>
    <t>Mike Nolan</t>
  </si>
  <si>
    <t>Gregg Williams</t>
  </si>
  <si>
    <t>Jeremy Bates</t>
  </si>
  <si>
    <t>Kacy Rodgers</t>
  </si>
  <si>
    <t>Todd Bowles</t>
  </si>
  <si>
    <t>John Morton</t>
  </si>
  <si>
    <t>Marty Mornhinweg</t>
  </si>
  <si>
    <t>Brian Schottenheimer</t>
  </si>
  <si>
    <t>Mike Vrabel</t>
  </si>
  <si>
    <t>Arthur Smith</t>
  </si>
  <si>
    <t>Dean Pees</t>
  </si>
  <si>
    <t>Matt LaFleur</t>
  </si>
  <si>
    <t>Mike Mularkey</t>
  </si>
  <si>
    <t>Terry Robiskie</t>
  </si>
  <si>
    <t>Dick LeBeau</t>
  </si>
  <si>
    <t>Ken Whisenhunt</t>
  </si>
  <si>
    <t>Jason Michael</t>
  </si>
  <si>
    <t>Ray Horton</t>
  </si>
  <si>
    <t>Mike Munchak</t>
  </si>
  <si>
    <t>Jerry Gray</t>
  </si>
  <si>
    <t>Chris Palmer</t>
  </si>
  <si>
    <t>Jeff Fisher</t>
  </si>
  <si>
    <t>Mike Heimerdinger</t>
  </si>
  <si>
    <t>Chuck Cecil</t>
  </si>
  <si>
    <t>Frank Reich</t>
  </si>
  <si>
    <t>Matt Eberflus</t>
  </si>
  <si>
    <t>Chuck Pagano</t>
  </si>
  <si>
    <t>Greg Manusky</t>
  </si>
  <si>
    <t>Pep Hamilton</t>
  </si>
  <si>
    <t>Bruce Arians</t>
  </si>
  <si>
    <t>Jim Caldwell</t>
  </si>
  <si>
    <t>Larry Coyer</t>
  </si>
  <si>
    <t>Jay Gruden</t>
  </si>
  <si>
    <t>Todd Wash</t>
  </si>
  <si>
    <t>John DeFilippo</t>
  </si>
  <si>
    <t>Gus Bradley</t>
  </si>
  <si>
    <t>Greg Olson</t>
  </si>
  <si>
    <t>Bob Babich</t>
  </si>
  <si>
    <t>Jedd Fisch</t>
  </si>
  <si>
    <t>Bob Bratkowski</t>
  </si>
  <si>
    <t>Mel Tucker</t>
  </si>
  <si>
    <t>Jack Del Rio</t>
  </si>
  <si>
    <t>Dirk Koetter</t>
  </si>
  <si>
    <t>HOU</t>
  </si>
  <si>
    <t>Anthony Weaver</t>
  </si>
  <si>
    <t>Romeo Crennel</t>
  </si>
  <si>
    <t>Gary Kubiak</t>
  </si>
  <si>
    <t>Wade Phillips</t>
  </si>
  <si>
    <t>Frank Bush</t>
  </si>
  <si>
    <t>PIT</t>
  </si>
  <si>
    <t>Mike Tomlin</t>
  </si>
  <si>
    <t>Randy Fichtner</t>
  </si>
  <si>
    <t>Keith Butler</t>
  </si>
  <si>
    <t>Todd Haley</t>
  </si>
  <si>
    <t>CLE</t>
  </si>
  <si>
    <t>Kevin Stefanski</t>
  </si>
  <si>
    <t>Joe Woods</t>
  </si>
  <si>
    <t>Freddie Kitchens</t>
  </si>
  <si>
    <t>Todd Monken</t>
  </si>
  <si>
    <t>Steve Wilks</t>
  </si>
  <si>
    <t>Hue Jackson</t>
  </si>
  <si>
    <t>Jim O'Neil</t>
  </si>
  <si>
    <t>Kyle Shanahan</t>
  </si>
  <si>
    <t>Norv Turner</t>
  </si>
  <si>
    <t>Brad Childress</t>
  </si>
  <si>
    <t>Dick Jauron</t>
  </si>
  <si>
    <t>Pat Shurmur</t>
  </si>
  <si>
    <t>Andrew Berry</t>
  </si>
  <si>
    <t>John Dorsey</t>
  </si>
  <si>
    <t>Eric Mangini</t>
  </si>
  <si>
    <t>Rob Ryan</t>
  </si>
  <si>
    <t>Tom Heckert</t>
  </si>
  <si>
    <t>Mickael Lombardi</t>
  </si>
  <si>
    <t>Ray Farmer</t>
  </si>
  <si>
    <t>Sashi Brown</t>
  </si>
  <si>
    <t>GM</t>
  </si>
  <si>
    <t>Brandon Beane</t>
  </si>
  <si>
    <t>Buddy Nix</t>
  </si>
  <si>
    <t>Doug Whaley</t>
  </si>
  <si>
    <t>Chris Grier</t>
  </si>
  <si>
    <t>Dennis Hickey</t>
  </si>
  <si>
    <t>Jerr Ireland</t>
  </si>
  <si>
    <t>BAL</t>
  </si>
  <si>
    <t>John Harbaugh</t>
  </si>
  <si>
    <t>Don Martindale</t>
  </si>
  <si>
    <t>Greg Mattison</t>
  </si>
  <si>
    <t>Cam Cameron</t>
  </si>
  <si>
    <t>Marc Trestman</t>
  </si>
  <si>
    <t>CIN</t>
  </si>
  <si>
    <t>Zac Taylor</t>
  </si>
  <si>
    <t>Brian Callahan</t>
  </si>
  <si>
    <t>Lou Anarumo</t>
  </si>
  <si>
    <t>Marvin Lewis</t>
  </si>
  <si>
    <t>Ken Zampese</t>
  </si>
  <si>
    <t>Teryl Austin</t>
  </si>
  <si>
    <t>Paul Guenther</t>
  </si>
  <si>
    <t>Mike Zimmer</t>
  </si>
  <si>
    <t>KC</t>
  </si>
  <si>
    <t>Andy Reid</t>
  </si>
  <si>
    <t>Eric Bieniemy</t>
  </si>
  <si>
    <t>Steve Spagnuolo</t>
  </si>
  <si>
    <t>Bob Sutton</t>
  </si>
  <si>
    <t>Matt Nagy</t>
  </si>
  <si>
    <t>Doug Pederson</t>
  </si>
  <si>
    <t>Bill Muir</t>
  </si>
  <si>
    <t>LV</t>
  </si>
  <si>
    <t>Jon Gruden</t>
  </si>
  <si>
    <t>Dennis Allen</t>
  </si>
  <si>
    <t>Tom Cable</t>
  </si>
  <si>
    <t>Todd Downing</t>
  </si>
  <si>
    <t>Bill Musgrave</t>
  </si>
  <si>
    <t>Greg Knapp</t>
  </si>
  <si>
    <t>Ken Norton</t>
  </si>
  <si>
    <t>Jason Tarver</t>
  </si>
  <si>
    <t>Chuck Bresnahan</t>
  </si>
  <si>
    <t>John Marshall</t>
  </si>
  <si>
    <t>DET</t>
  </si>
  <si>
    <t>MIN</t>
  </si>
  <si>
    <t>Vic Fangio</t>
  </si>
  <si>
    <t>John Fox</t>
  </si>
  <si>
    <t>Rich Scanharello</t>
  </si>
  <si>
    <t>Mike McCoy</t>
  </si>
  <si>
    <t>Anthony Lynn</t>
  </si>
  <si>
    <t>Shane Steichen</t>
  </si>
  <si>
    <t>Hal Hunter</t>
  </si>
  <si>
    <t>Clarence Shelmon</t>
  </si>
  <si>
    <t>John Pagano</t>
  </si>
  <si>
    <t>Ron Rivera</t>
  </si>
  <si>
    <t>PHI</t>
  </si>
  <si>
    <t>DAL</t>
  </si>
  <si>
    <t>NYG</t>
  </si>
  <si>
    <t>WAS</t>
  </si>
  <si>
    <t>GB</t>
  </si>
  <si>
    <t>CHI</t>
  </si>
  <si>
    <t>SEA</t>
  </si>
  <si>
    <t>SF</t>
  </si>
  <si>
    <t>LA</t>
  </si>
  <si>
    <t>ARI</t>
  </si>
  <si>
    <t>TB</t>
  </si>
  <si>
    <t>NO</t>
  </si>
  <si>
    <t>CAR</t>
  </si>
  <si>
    <t>ATL</t>
  </si>
  <si>
    <t>Chip Kelly</t>
  </si>
  <si>
    <t>Bill Davis</t>
  </si>
  <si>
    <t>Juan Castillo</t>
  </si>
  <si>
    <t>Mike McCarthy</t>
  </si>
  <si>
    <t>Kellen Moore</t>
  </si>
  <si>
    <t>Jason Garrett</t>
  </si>
  <si>
    <t>Scott Linehan</t>
  </si>
  <si>
    <t>Bill Callahan</t>
  </si>
  <si>
    <t>Rod Marinelli</t>
  </si>
  <si>
    <t>Monte Kiffin</t>
  </si>
  <si>
    <t>Paul Pasqualoni</t>
  </si>
  <si>
    <t>Joe Judge</t>
  </si>
  <si>
    <t>Mike Shula</t>
  </si>
  <si>
    <t>James Bettcher</t>
  </si>
  <si>
    <t>Ben McAdoo</t>
  </si>
  <si>
    <t>Mike Sullivan</t>
  </si>
  <si>
    <t>Tom Coughlin</t>
  </si>
  <si>
    <t>Kevin Gilbride</t>
  </si>
  <si>
    <t>Perry Fewell</t>
  </si>
  <si>
    <t>Scott Turner</t>
  </si>
  <si>
    <t>Kevin O'Connell</t>
  </si>
  <si>
    <t>Sean McVay</t>
  </si>
  <si>
    <t>Mike Shanahan</t>
  </si>
  <si>
    <t>Joe Barry</t>
  </si>
  <si>
    <t>Jim Haslett</t>
  </si>
  <si>
    <t>Darrell Bevell</t>
  </si>
  <si>
    <t>Dom Capers</t>
  </si>
  <si>
    <t>Lovie Smith</t>
  </si>
  <si>
    <t>Aaron Kromer</t>
  </si>
  <si>
    <t>Mike Tice</t>
  </si>
  <si>
    <t>Mike Martz</t>
  </si>
  <si>
    <t>Jim Bob Cooter</t>
  </si>
  <si>
    <t>Joe Lombardi</t>
  </si>
  <si>
    <t>Pete Carroll</t>
  </si>
  <si>
    <t>Kris Richard</t>
  </si>
  <si>
    <t>Dan Quinn</t>
  </si>
  <si>
    <t>Robert Saleh</t>
  </si>
  <si>
    <t>Jim Tomsula</t>
  </si>
  <si>
    <t>Geep Chryst</t>
  </si>
  <si>
    <t>Jim Harbaugh</t>
  </si>
  <si>
    <t>Mike Singletary</t>
  </si>
  <si>
    <t>Jimmy Rave</t>
  </si>
  <si>
    <t>Brandon Staley</t>
  </si>
  <si>
    <t>Rob Boras</t>
  </si>
  <si>
    <t>Frank Cignetti</t>
  </si>
  <si>
    <t>Tim Walton</t>
  </si>
  <si>
    <t>Kliff Kingsbury</t>
  </si>
  <si>
    <t>Mike Miller</t>
  </si>
  <si>
    <t>Byron Leftwich</t>
  </si>
  <si>
    <t>Mike Smith</t>
  </si>
  <si>
    <t>Greg Schiano</t>
  </si>
  <si>
    <t>Raheem Morris</t>
  </si>
  <si>
    <t>Jeff Tedford</t>
  </si>
  <si>
    <t>Bill Sheridan</t>
  </si>
  <si>
    <t>Keith Millard</t>
  </si>
  <si>
    <t>Sean Payton</t>
  </si>
  <si>
    <t>Matt Rhule</t>
  </si>
  <si>
    <t>Joe Brady</t>
  </si>
  <si>
    <t>Phil Snow</t>
  </si>
  <si>
    <t>Eric Washington</t>
  </si>
  <si>
    <t>Rob Chudzinski</t>
  </si>
  <si>
    <t>Jeff Davidson</t>
  </si>
  <si>
    <t>Ron Meeks</t>
  </si>
  <si>
    <t>Steve Sarkisian</t>
  </si>
  <si>
    <t>Brian VanGorder</t>
  </si>
  <si>
    <t>Joe Douglas</t>
  </si>
  <si>
    <t>Mike Maccagnan</t>
  </si>
  <si>
    <t>John Idzik</t>
  </si>
  <si>
    <t>Mike Tannenbaum</t>
  </si>
  <si>
    <t>Jon Robinson</t>
  </si>
  <si>
    <t>Ruston Webster</t>
  </si>
  <si>
    <t>Mike Reinfeldt</t>
  </si>
  <si>
    <t>Chris Ballard</t>
  </si>
  <si>
    <t>Ryan Grigson</t>
  </si>
  <si>
    <t>Chris Polian</t>
  </si>
  <si>
    <t>David Caldwell</t>
  </si>
  <si>
    <t>Gene Smith</t>
  </si>
  <si>
    <t>Brian Gaine</t>
  </si>
  <si>
    <t>Rick Smith</t>
  </si>
  <si>
    <t>Kevin Colbert</t>
  </si>
  <si>
    <t>Eric DeCosta</t>
  </si>
  <si>
    <t>Ozzie Newsome</t>
  </si>
  <si>
    <t>Mike Brown</t>
  </si>
  <si>
    <t>Brett Veach</t>
  </si>
  <si>
    <t>Scott Pioli</t>
  </si>
  <si>
    <t>Mike Mayock</t>
  </si>
  <si>
    <t>Reggie McKenzie</t>
  </si>
  <si>
    <t>Al Davis</t>
  </si>
  <si>
    <t>John Elway</t>
  </si>
  <si>
    <t>Brian Xanders</t>
  </si>
  <si>
    <t>Tom Telesco</t>
  </si>
  <si>
    <t>AJ Smith</t>
  </si>
  <si>
    <t>Howie Roseman</t>
  </si>
  <si>
    <t>Jerry Jones</t>
  </si>
  <si>
    <t>Dave Gettelman</t>
  </si>
  <si>
    <t>Jerry Reese</t>
  </si>
  <si>
    <t>Daniel Snyder</t>
  </si>
  <si>
    <t>Bruce Allen</t>
  </si>
  <si>
    <t>Scott McCloughhan</t>
  </si>
  <si>
    <t>Rick Spielman</t>
  </si>
  <si>
    <t>Brian Gutekunst</t>
  </si>
  <si>
    <t>Ted Thompson</t>
  </si>
  <si>
    <t>Ryan Pace</t>
  </si>
  <si>
    <t>Phil Emery</t>
  </si>
  <si>
    <t>Jerry Angelo</t>
  </si>
  <si>
    <t>Bob Quinn</t>
  </si>
  <si>
    <t>Martin Mayhew</t>
  </si>
  <si>
    <t>John Lynch</t>
  </si>
  <si>
    <t>Trent Baalke</t>
  </si>
  <si>
    <t>Les Snead</t>
  </si>
  <si>
    <t>Billy Devaney</t>
  </si>
  <si>
    <t>Steve Keim</t>
  </si>
  <si>
    <t>Rod Graves</t>
  </si>
  <si>
    <t>Jason Licht</t>
  </si>
  <si>
    <t>Mark Dominik</t>
  </si>
  <si>
    <t>Mickey Loomis</t>
  </si>
  <si>
    <t>Marty Hurney</t>
  </si>
  <si>
    <t>Thomas Dimitroff</t>
  </si>
  <si>
    <t># GM</t>
  </si>
  <si>
    <t>Longest Tenured</t>
  </si>
  <si>
    <t># Owners</t>
  </si>
  <si>
    <t># HC</t>
  </si>
  <si>
    <t>CLE 1998-</t>
  </si>
  <si>
    <t>Year Founded</t>
  </si>
  <si>
    <t>CLE 2011-</t>
  </si>
  <si>
    <t>GM/Year</t>
  </si>
  <si>
    <t>Owner/Year</t>
  </si>
  <si>
    <t>HC/Year</t>
  </si>
  <si>
    <t>GM AVG Tenure</t>
  </si>
  <si>
    <t>HC AVG Tenure</t>
  </si>
  <si>
    <t>Longest Tenured2</t>
  </si>
  <si>
    <t>Longest Tenured3</t>
  </si>
  <si>
    <t>Russ Brandon</t>
  </si>
  <si>
    <t>Title</t>
  </si>
  <si>
    <t>Name</t>
  </si>
  <si>
    <t>SB Wins</t>
  </si>
  <si>
    <t>SB Apps</t>
  </si>
  <si>
    <t>Playoff Wins</t>
  </si>
  <si>
    <t>Playoff Apps</t>
  </si>
  <si>
    <t>Time in NFL</t>
  </si>
  <si>
    <t>OL C</t>
  </si>
  <si>
    <t>WR C</t>
  </si>
  <si>
    <t>TE C</t>
  </si>
  <si>
    <t>RB C</t>
  </si>
  <si>
    <t>DB C</t>
  </si>
  <si>
    <t>DL C</t>
  </si>
  <si>
    <t>LB C</t>
  </si>
  <si>
    <t>ST C</t>
  </si>
  <si>
    <t>Mike Priefer</t>
  </si>
  <si>
    <t>Alex Van Pelt</t>
  </si>
  <si>
    <t>Drew Petzing</t>
  </si>
  <si>
    <t>Stump Mitchell</t>
  </si>
  <si>
    <t>Chris Kiffin</t>
  </si>
  <si>
    <t>Jeff Howard</t>
  </si>
  <si>
    <t>Including 2020 Season</t>
  </si>
  <si>
    <t>2019 Season</t>
  </si>
  <si>
    <t>-</t>
  </si>
  <si>
    <t>Adam Henry</t>
  </si>
  <si>
    <t>John Lilly</t>
  </si>
  <si>
    <t>Joe Whitt</t>
  </si>
  <si>
    <t>Tosh Lupoi</t>
  </si>
  <si>
    <t>Al Holcomb</t>
  </si>
  <si>
    <t>Mike Preifer</t>
  </si>
  <si>
    <t>QB C</t>
  </si>
  <si>
    <t>Ryan Lindley</t>
  </si>
  <si>
    <t>SUM</t>
  </si>
  <si>
    <t>Average</t>
  </si>
  <si>
    <t>Median</t>
  </si>
  <si>
    <t>2020 Roster Diff</t>
  </si>
  <si>
    <t>Austin Hooper</t>
  </si>
  <si>
    <t>Jack Conklin</t>
  </si>
  <si>
    <t>BJ Goodson</t>
  </si>
  <si>
    <t>Karl Joseph</t>
  </si>
  <si>
    <t>Andrew Sendejo</t>
  </si>
  <si>
    <t>Adrian Clayborn</t>
  </si>
  <si>
    <t>Kevin Johnson</t>
  </si>
  <si>
    <t>Jojo Natson</t>
  </si>
  <si>
    <t>Case Keenum</t>
  </si>
  <si>
    <t>Prior to 2020</t>
  </si>
  <si>
    <t>Prior to 2021</t>
  </si>
  <si>
    <t>2021 Roster Diff</t>
  </si>
  <si>
    <t>Jadeveon Clowney</t>
  </si>
  <si>
    <t>Anthony Walker</t>
  </si>
  <si>
    <t>Malik Jackson</t>
  </si>
  <si>
    <t>Troy Hill</t>
  </si>
  <si>
    <t>John Johnson III</t>
  </si>
  <si>
    <t>Sheldon Day</t>
  </si>
  <si>
    <t>Malcolm Smith</t>
  </si>
  <si>
    <t>Damion Square</t>
  </si>
  <si>
    <t>Ted Monachino</t>
  </si>
  <si>
    <t>season</t>
  </si>
  <si>
    <t>Clancy Pendergast</t>
  </si>
  <si>
    <t>Dennis Green</t>
  </si>
  <si>
    <t>Keith Rowen</t>
  </si>
  <si>
    <t>Alex Wood</t>
  </si>
  <si>
    <t>Dave McGinnis</t>
  </si>
  <si>
    <t>Jerry Sullivan</t>
  </si>
  <si>
    <t>Larry Marmie</t>
  </si>
  <si>
    <t>Rich Olson</t>
  </si>
  <si>
    <t>Bob Ferguson</t>
  </si>
  <si>
    <t>Vince Tobin</t>
  </si>
  <si>
    <t>Terry Fontenot</t>
  </si>
  <si>
    <t>Bobby Petrino</t>
  </si>
  <si>
    <t>Rich McKay</t>
  </si>
  <si>
    <t>Jim Mora</t>
  </si>
  <si>
    <t>Ed Donatell</t>
  </si>
  <si>
    <t>Dan Reeves</t>
  </si>
  <si>
    <t>Pete Mangurian</t>
  </si>
  <si>
    <t>George Sefcik</t>
  </si>
  <si>
    <t>Don Blackmon</t>
  </si>
  <si>
    <t>Harold Richardson</t>
  </si>
  <si>
    <t>Rich Brooks</t>
  </si>
  <si>
    <t>Brian Billick</t>
  </si>
  <si>
    <t>Rick Neuheisel</t>
  </si>
  <si>
    <t>Jim Fassel</t>
  </si>
  <si>
    <t>Owner</t>
  </si>
  <si>
    <t>Matt Cavanaugh</t>
  </si>
  <si>
    <t>Art Modell</t>
  </si>
  <si>
    <t>Steve Bisciotti</t>
  </si>
  <si>
    <t>Arthur Blank</t>
  </si>
  <si>
    <t>Taylor Smith</t>
  </si>
  <si>
    <t>Bidwell Family</t>
  </si>
  <si>
    <t>Terry Pegula</t>
  </si>
  <si>
    <t>Ralph Wilson</t>
  </si>
  <si>
    <t>Turk Schonert</t>
  </si>
  <si>
    <t>Steve Fairchild</t>
  </si>
  <si>
    <t>Marv Levy</t>
  </si>
  <si>
    <t>Tom Clements</t>
  </si>
  <si>
    <t>Tom Donahoe</t>
  </si>
  <si>
    <t>Mike Sheppard</t>
  </si>
  <si>
    <t>Joe Pendry</t>
  </si>
  <si>
    <t>Ted Cottrell</t>
  </si>
  <si>
    <t>John Butler</t>
  </si>
  <si>
    <t>Scott Fitterer</t>
  </si>
  <si>
    <t>David Tepper</t>
  </si>
  <si>
    <t>Jerry Richardson</t>
  </si>
  <si>
    <t>Mike Trgovac</t>
  </si>
  <si>
    <t>George Seifert</t>
  </si>
  <si>
    <t>Richard Williamson</t>
  </si>
  <si>
    <t>Gil Haskell</t>
  </si>
  <si>
    <t>Sean Desai</t>
  </si>
  <si>
    <t>Virginia Halas McCaskey</t>
  </si>
  <si>
    <t>Ron Turner</t>
  </si>
  <si>
    <t>Terry Shea</t>
  </si>
  <si>
    <t>John Shoop</t>
  </si>
  <si>
    <t>Greg Blache</t>
  </si>
  <si>
    <t>Gary Crowton</t>
  </si>
  <si>
    <t>Mark Hatley</t>
  </si>
  <si>
    <t>Mark Duffner</t>
  </si>
  <si>
    <t>Ken Anderson</t>
  </si>
  <si>
    <t>Bruce Coslet</t>
  </si>
  <si>
    <t>Jimmy Haslam</t>
  </si>
  <si>
    <t>Randy Lerner</t>
  </si>
  <si>
    <t>Al Lerner</t>
  </si>
  <si>
    <t>George Kokinis</t>
  </si>
  <si>
    <t>Phil Savage</t>
  </si>
  <si>
    <t>Todd Grantham</t>
  </si>
  <si>
    <t>Maurice Carthon</t>
  </si>
  <si>
    <t>Dave Campo</t>
  </si>
  <si>
    <t>Butch Davis</t>
  </si>
  <si>
    <t>Foge Fazio</t>
  </si>
  <si>
    <t>Dwight Clark</t>
  </si>
  <si>
    <t>Pete Carmichael</t>
  </si>
  <si>
    <t>Bob Slowik</t>
  </si>
  <si>
    <t>Brian Stewart</t>
  </si>
  <si>
    <t>Bill Parcells</t>
  </si>
  <si>
    <t>Jack Reilly</t>
  </si>
  <si>
    <t>George Paton</t>
  </si>
  <si>
    <t>Pat Bowlen</t>
  </si>
  <si>
    <t>Joe Ellis (Bowlen Trust)</t>
  </si>
  <si>
    <t>Jim Goodman</t>
  </si>
  <si>
    <t>Ted Sundquist</t>
  </si>
  <si>
    <t>Ray Rhodes</t>
  </si>
  <si>
    <t>Neal Dahlen</t>
  </si>
  <si>
    <t>Greg Robinson</t>
  </si>
  <si>
    <t>Dan Campbell</t>
  </si>
  <si>
    <t>Aaron Glenn</t>
  </si>
  <si>
    <t>Brad Holmes</t>
  </si>
  <si>
    <t>Sheilia Ford Hamp</t>
  </si>
  <si>
    <t>Martha Ford</t>
  </si>
  <si>
    <t>William Ford</t>
  </si>
  <si>
    <t>Jim Schwartz</t>
  </si>
  <si>
    <t>Rob Marinelli</t>
  </si>
  <si>
    <t>Jim Colletto</t>
  </si>
  <si>
    <t>Matt Millen</t>
  </si>
  <si>
    <t>Donnie Henderson</t>
  </si>
  <si>
    <t>Steve Mariucci</t>
  </si>
  <si>
    <t>Sherman Lewis</t>
  </si>
  <si>
    <t>Kurt Schottenheimer</t>
  </si>
  <si>
    <t>Chuck Schmidt</t>
  </si>
  <si>
    <t>Bobby Ross</t>
  </si>
  <si>
    <t>Sylvester Croom</t>
  </si>
  <si>
    <t>Larry Peccatiello</t>
  </si>
  <si>
    <t>Mark Murphy CEO</t>
  </si>
  <si>
    <t>Bob Harlan CEO</t>
  </si>
  <si>
    <t>Ron Wolf</t>
  </si>
  <si>
    <t>Bob Sanders</t>
  </si>
  <si>
    <t>Tom Rossley</t>
  </si>
  <si>
    <t>Jim Bates</t>
  </si>
  <si>
    <t>Emmitt Thomas</t>
  </si>
  <si>
    <t>David Culley</t>
  </si>
  <si>
    <t>Tim Kelly</t>
  </si>
  <si>
    <t>Nick Caserio</t>
  </si>
  <si>
    <t>Janice McNair</t>
  </si>
  <si>
    <t>Bob McNair</t>
  </si>
  <si>
    <t>Charlie Casserly</t>
  </si>
  <si>
    <t>Richard Smith</t>
  </si>
  <si>
    <t>Jim Irsay</t>
  </si>
  <si>
    <t>Bill Polian</t>
  </si>
  <si>
    <t>Tom Moore</t>
  </si>
  <si>
    <t>Tony Dungy</t>
  </si>
  <si>
    <t>Urban Meyer</t>
  </si>
  <si>
    <t>Joe Cullen</t>
  </si>
  <si>
    <t>Shahid Khan</t>
  </si>
  <si>
    <t>Wayne Weaver</t>
  </si>
  <si>
    <t>James Harris</t>
  </si>
  <si>
    <t>Carl Smith</t>
  </si>
  <si>
    <t>John Pease</t>
  </si>
  <si>
    <t>Gary Moeller</t>
  </si>
  <si>
    <t>Clark Hunt</t>
  </si>
  <si>
    <t>Lamar Hunt</t>
  </si>
  <si>
    <t>Herm Edwards</t>
  </si>
  <si>
    <t>Gunther Cunningham</t>
  </si>
  <si>
    <t>Carl Peterson</t>
  </si>
  <si>
    <t>Mike Solari</t>
  </si>
  <si>
    <t>Dick Vermeil</t>
  </si>
  <si>
    <t>Al Saunders</t>
  </si>
  <si>
    <t>Jimmy Raye</t>
  </si>
  <si>
    <t>Stan Kroenke</t>
  </si>
  <si>
    <t>Georgia Frontiere</t>
  </si>
  <si>
    <t>Georgia Frontiere Estate</t>
  </si>
  <si>
    <t>Jay Zygmunt</t>
  </si>
  <si>
    <t>Peter Giunta</t>
  </si>
  <si>
    <t>Dean Spanos</t>
  </si>
  <si>
    <t>Alex Spanos</t>
  </si>
  <si>
    <t>Bobby Beathard</t>
  </si>
  <si>
    <t>Marty Shottenheimer</t>
  </si>
  <si>
    <t>Dale Lindsey</t>
  </si>
  <si>
    <t>Mike Reiley</t>
  </si>
  <si>
    <t>Joe Pascale</t>
  </si>
  <si>
    <t>Mark Davis</t>
  </si>
  <si>
    <t>Lane Kiffin</t>
  </si>
  <si>
    <t>Art Shell</t>
  </si>
  <si>
    <t>Willie Shaw</t>
  </si>
  <si>
    <t>George Godsey</t>
  </si>
  <si>
    <t>Stephen Ross</t>
  </si>
  <si>
    <t>Wayne Huizenga</t>
  </si>
  <si>
    <t>Randy Mueller</t>
  </si>
  <si>
    <t>Nick Saban</t>
  </si>
  <si>
    <t>Chris Foerster</t>
  </si>
  <si>
    <t>Eddie Jones</t>
  </si>
  <si>
    <t>Jimmy Johnson</t>
  </si>
  <si>
    <t>Kippy Brown</t>
  </si>
  <si>
    <t>Klint Kubiak</t>
  </si>
  <si>
    <t>Wilf Family</t>
  </si>
  <si>
    <t>Red McCombs</t>
  </si>
  <si>
    <t>Rob Brzezinski</t>
  </si>
  <si>
    <t>Tim Connolly</t>
  </si>
  <si>
    <t>Ray Sherman</t>
  </si>
  <si>
    <t>George O'Leary</t>
  </si>
  <si>
    <t>Steve Loney</t>
  </si>
  <si>
    <t>Robert Kraft</t>
  </si>
  <si>
    <t>Charlie Weis</t>
  </si>
  <si>
    <t>Steve Sidwell</t>
  </si>
  <si>
    <t>Bobby Grier</t>
  </si>
  <si>
    <t>Gayle Benson</t>
  </si>
  <si>
    <t>Tom Benson</t>
  </si>
  <si>
    <t>Gary Gibbs</t>
  </si>
  <si>
    <t>Rick Venturi</t>
  </si>
  <si>
    <t>Ron Zook</t>
  </si>
  <si>
    <t>Mike Ditka</t>
  </si>
  <si>
    <t>Danny Abramowicz</t>
  </si>
  <si>
    <t>Zaven Yaralian</t>
  </si>
  <si>
    <t>Bill Kuharich</t>
  </si>
  <si>
    <t>John Mara</t>
  </si>
  <si>
    <t>Mara-Tisch Family</t>
  </si>
  <si>
    <t>Ernie Accorsi</t>
  </si>
  <si>
    <t>John Hufnagel</t>
  </si>
  <si>
    <t>Tim Lewis</t>
  </si>
  <si>
    <t>Johnny Lynn</t>
  </si>
  <si>
    <t>Jim Skipper</t>
  </si>
  <si>
    <t>Mike LaFleur</t>
  </si>
  <si>
    <t>Woody Johnson</t>
  </si>
  <si>
    <t>Leon Hess</t>
  </si>
  <si>
    <t>Terry Bradway</t>
  </si>
  <si>
    <t>Paul Hackett</t>
  </si>
  <si>
    <t>Al Groh</t>
  </si>
  <si>
    <t>Nick Sirianni</t>
  </si>
  <si>
    <t>Jonathon Gannon</t>
  </si>
  <si>
    <t>Jeffrey Lurie</t>
  </si>
  <si>
    <t>Jim Johnson</t>
  </si>
  <si>
    <t>Rod Dowhower</t>
  </si>
  <si>
    <t>Tom Modrak</t>
  </si>
  <si>
    <t>Matt Canada</t>
  </si>
  <si>
    <t>Rooney Family</t>
  </si>
  <si>
    <t>Bill Cowher</t>
  </si>
  <si>
    <t>Shane Waldron</t>
  </si>
  <si>
    <t>Allen Family Estate</t>
  </si>
  <si>
    <t>Paul Allen</t>
  </si>
  <si>
    <t>Tim Ruskell</t>
  </si>
  <si>
    <t>Mike Holmgren</t>
  </si>
  <si>
    <t>Jim Lind</t>
  </si>
  <si>
    <t>DeMeco Ryans</t>
  </si>
  <si>
    <t>Jed York</t>
  </si>
  <si>
    <t>York Family</t>
  </si>
  <si>
    <t>Eddie DeBartolo</t>
  </si>
  <si>
    <t>Scot McCloughan</t>
  </si>
  <si>
    <t>Terry Donahue</t>
  </si>
  <si>
    <t>Bill Walsh</t>
  </si>
  <si>
    <t>Jim Hostler</t>
  </si>
  <si>
    <t>Dennis Erickson</t>
  </si>
  <si>
    <t>Ted Tollner</t>
  </si>
  <si>
    <t>Willy Robinson</t>
  </si>
  <si>
    <t>Glazer Family</t>
  </si>
  <si>
    <t>Les Steckel</t>
  </si>
  <si>
    <t>Shane Bowen</t>
  </si>
  <si>
    <t>Amy Adams Strunk</t>
  </si>
  <si>
    <t>Bud Adams</t>
  </si>
  <si>
    <t>Susie Adams Smith</t>
  </si>
  <si>
    <t>Norm Chow</t>
  </si>
  <si>
    <t>Floyd Reese</t>
  </si>
  <si>
    <t>Jim Zorn</t>
  </si>
  <si>
    <t>Sherman Smith</t>
  </si>
  <si>
    <t>Vinny Cerrato</t>
  </si>
  <si>
    <t>Joe Gibbs</t>
  </si>
  <si>
    <t>Don Breaux</t>
  </si>
  <si>
    <t>Steve Spurrier</t>
  </si>
  <si>
    <t>OffTree</t>
  </si>
  <si>
    <t>DefTree</t>
  </si>
  <si>
    <t>Air Raid</t>
  </si>
  <si>
    <t>West Coast</t>
  </si>
  <si>
    <t>Arians</t>
  </si>
  <si>
    <t>Parcells</t>
  </si>
  <si>
    <t>Martz</t>
  </si>
  <si>
    <t>Air Coryell</t>
  </si>
  <si>
    <t>Run Game</t>
  </si>
  <si>
    <t>Shanahan</t>
  </si>
  <si>
    <t>OL Game</t>
  </si>
  <si>
    <t>Erhardt-Perkins</t>
  </si>
  <si>
    <t>Mularkey</t>
  </si>
  <si>
    <t>Reid</t>
  </si>
  <si>
    <t>Marty Ball</t>
  </si>
  <si>
    <t>Unknown</t>
  </si>
  <si>
    <t>Tom Landry</t>
  </si>
  <si>
    <t>Run and Shoot</t>
  </si>
  <si>
    <t>Dungy</t>
  </si>
  <si>
    <t>Ernie Zampese</t>
  </si>
  <si>
    <t>Gruden</t>
  </si>
  <si>
    <t>QB Run</t>
  </si>
  <si>
    <t>John Madden</t>
  </si>
  <si>
    <t>GMChange</t>
  </si>
  <si>
    <t>Ken Dorsey</t>
  </si>
  <si>
    <t>Mike McDaniel</t>
  </si>
  <si>
    <t>Mike Macdonald</t>
  </si>
  <si>
    <t>Luke Getsy</t>
  </si>
  <si>
    <t>Alan Williams</t>
  </si>
  <si>
    <t>Ryan Poles</t>
  </si>
  <si>
    <t>Ben Johnson</t>
  </si>
  <si>
    <t>Kwesi Adofo-Mensah</t>
  </si>
  <si>
    <t>Clint Hurtt</t>
  </si>
  <si>
    <t>Ejiro Evero</t>
  </si>
  <si>
    <t>Dave Ziegler</t>
  </si>
  <si>
    <t>Joe Schoen</t>
  </si>
  <si>
    <t>Mike Caldwell</t>
  </si>
  <si>
    <t>Jonathan Gannon</t>
  </si>
  <si>
    <t>Monti Ossenfort</t>
  </si>
  <si>
    <t>Ryan Nielsen</t>
  </si>
  <si>
    <t>Bobby Slowik</t>
  </si>
  <si>
    <t>Omar Khan</t>
  </si>
  <si>
    <t>Brian Johnson</t>
  </si>
  <si>
    <t>Dave Canales</t>
  </si>
  <si>
    <t>Josh Harris</t>
  </si>
  <si>
    <t>Ran Carthon</t>
  </si>
  <si>
    <t>Kubiak</t>
  </si>
  <si>
    <t>Tampa-2</t>
  </si>
  <si>
    <t>Zac Robinson</t>
  </si>
  <si>
    <t>Fangio</t>
  </si>
  <si>
    <t>Zach Orr</t>
  </si>
  <si>
    <t>Man-Blitz</t>
  </si>
  <si>
    <t>Zimmer</t>
  </si>
  <si>
    <t>Man</t>
  </si>
  <si>
    <t>Jeff Hafley</t>
  </si>
  <si>
    <t>Cover 3</t>
  </si>
  <si>
    <t>Zone-Blitz</t>
  </si>
  <si>
    <t>Chris Shula</t>
  </si>
  <si>
    <t>Jesse Minter</t>
  </si>
  <si>
    <t>Antonio Pierce</t>
  </si>
  <si>
    <t>Jerod Mayo</t>
  </si>
  <si>
    <t>Ryan Grubb</t>
  </si>
  <si>
    <t>Nick Sorensen</t>
  </si>
  <si>
    <t>Liam Coen</t>
  </si>
  <si>
    <t>Dennard Wilson</t>
  </si>
  <si>
    <t>Joe Hortiz</t>
  </si>
  <si>
    <t>Adam Peters</t>
  </si>
  <si>
    <t>Eliot Wolf</t>
  </si>
  <si>
    <t>John Schneider</t>
  </si>
  <si>
    <t>Al Golden</t>
  </si>
  <si>
    <t>Kelvin Sheppard</t>
  </si>
  <si>
    <t>Nick Caley</t>
  </si>
  <si>
    <t>Anthony Campanile</t>
  </si>
  <si>
    <t>Terrell Williams</t>
  </si>
  <si>
    <t>Tanner Engstrand</t>
  </si>
  <si>
    <t>Kevin Patullo</t>
  </si>
  <si>
    <t>Josh Grizzard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</si>
</sst>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rial"/>
      <family val="2"/>
    </font>
    <font>
      <b/>
      <sz val="12"/>
      <color theme="1"/>
      <name val="Arial"/>
      <family val="2"/>
    </font>
    <font>
      <sz val="8"/>
      <name val="Arial"/>
      <family val="2"/>
    </font>
    <font>
      <u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2" fontId="0" fillId="0" borderId="0" xfId="0" applyNumberFormat="1"/>
    <xf numFmtId="0" fontId="3" fillId="0" borderId="0" xfId="0" applyFont="1"/>
    <xf numFmtId="0" fontId="1" fillId="0" borderId="0" xfId="0" applyFont="1"/>
    <xf numFmtId="0" fontId="1" fillId="0" borderId="1" xfId="0" applyFont="1" applyBorder="1"/>
    <xf numFmtId="1" fontId="1" fillId="0" borderId="1" xfId="0" applyNumberFormat="1" applyFont="1" applyBorder="1"/>
    <xf numFmtId="0" fontId="1" fillId="2" borderId="0" xfId="0" applyFont="1" applyFill="1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EC5B9D-20BC-4B52-86F1-747052064BC7}" name="Table1" displayName="Table1" ref="A1:M35" totalsRowShown="0">
  <autoFilter ref="A1:M35" xr:uid="{A56070AD-2A32-4F2D-B5BE-35EE36F5842D}"/>
  <tableColumns count="13">
    <tableColumn id="1" xr3:uid="{BE0D006F-5822-49A9-8632-8FAD58ADE86A}" name="Team"/>
    <tableColumn id="2" xr3:uid="{D87C3FB6-6EDC-4F65-BFA2-E12949753046}" name="Year Founded" dataDxfId="6"/>
    <tableColumn id="3" xr3:uid="{52AD2A84-D8D6-473A-9695-2F1BAF702CE4}" name="# GM"/>
    <tableColumn id="4" xr3:uid="{586F39A7-5B37-411C-A600-05DFDB05413D}" name="GM/Year" dataDxfId="5">
      <calculatedColumnFormula>C2/(2020-$B2)</calculatedColumnFormula>
    </tableColumn>
    <tableColumn id="5" xr3:uid="{D5CA2F9B-1859-4AB3-B1CC-01E4E74E1AEF}" name="Longest Tenured" dataDxfId="4"/>
    <tableColumn id="6" xr3:uid="{2065647F-0072-400F-8D0D-E55BF7FE156F}" name="GM AVG Tenure" dataDxfId="3">
      <calculatedColumnFormula>(2020-B2)/C2</calculatedColumnFormula>
    </tableColumn>
    <tableColumn id="7" xr3:uid="{C055D409-1ED5-4A4A-9FE5-785EDF6F1876}" name="# Owners"/>
    <tableColumn id="8" xr3:uid="{DF592148-01DF-4306-91C9-308ECDD25873}" name="Owner/Year" dataDxfId="2">
      <calculatedColumnFormula>G2/(2020-$B2)</calculatedColumnFormula>
    </tableColumn>
    <tableColumn id="9" xr3:uid="{70C95D54-7051-4B96-BCAC-BF3676C70691}" name="Longest Tenured2"/>
    <tableColumn id="10" xr3:uid="{9DEA4C88-F6E7-4ECA-879B-8CB0A30C9331}" name="# HC"/>
    <tableColumn id="11" xr3:uid="{EF3D3421-30EF-44F0-9166-87EFE8425E99}" name="HC/Year" dataDxfId="1">
      <calculatedColumnFormula>J2/(2020-$B2)</calculatedColumnFormula>
    </tableColumn>
    <tableColumn id="12" xr3:uid="{69B6A8C8-46AD-4499-8BBE-90A109F72688}" name="Longest Tenured3"/>
    <tableColumn id="13" xr3:uid="{C6EF5E05-DF8B-4268-9483-3985E10B24FF}" name="HC AVG Tenure" dataDxfId="0">
      <calculatedColumnFormula>(2020-B2)/J2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F54DD-68E7-48F5-A705-75BB3A052D49}">
  <sheetPr filterMode="1"/>
  <dimension ref="A1:M862"/>
  <sheetViews>
    <sheetView tabSelected="1" topLeftCell="A766" workbookViewId="0">
      <selection activeCell="D783" sqref="D783"/>
    </sheetView>
  </sheetViews>
  <sheetFormatPr defaultRowHeight="15" x14ac:dyDescent="0.35"/>
  <cols>
    <col min="3" max="3" width="14.4375" bestFit="1" customWidth="1"/>
    <col min="4" max="4" width="18" bestFit="1" customWidth="1"/>
    <col min="5" max="5" width="17.5625" bestFit="1" customWidth="1"/>
    <col min="6" max="6" width="11.125" bestFit="1" customWidth="1"/>
    <col min="7" max="7" width="11.25" bestFit="1" customWidth="1"/>
    <col min="8" max="8" width="11.125" bestFit="1" customWidth="1"/>
    <col min="9" max="9" width="11.4375" bestFit="1" customWidth="1"/>
    <col min="10" max="10" width="18.5625" customWidth="1"/>
    <col min="11" max="11" width="20.9375" customWidth="1"/>
    <col min="12" max="12" width="13.375" bestFit="1" customWidth="1"/>
    <col min="13" max="13" width="12.4375" bestFit="1" customWidth="1"/>
  </cols>
  <sheetData>
    <row r="1" spans="1:13" x14ac:dyDescent="0.35">
      <c r="A1" t="s">
        <v>381</v>
      </c>
      <c r="B1" t="s">
        <v>7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641</v>
      </c>
      <c r="J1" t="s">
        <v>124</v>
      </c>
      <c r="K1" t="s">
        <v>406</v>
      </c>
      <c r="L1" t="s">
        <v>618</v>
      </c>
      <c r="M1" t="s">
        <v>619</v>
      </c>
    </row>
    <row r="2" spans="1:13" x14ac:dyDescent="0.35">
      <c r="A2">
        <v>2025</v>
      </c>
      <c r="B2" t="s">
        <v>186</v>
      </c>
      <c r="C2" t="s">
        <v>655</v>
      </c>
      <c r="D2" t="s">
        <v>341</v>
      </c>
      <c r="E2" t="s">
        <v>655</v>
      </c>
      <c r="F2">
        <f t="shared" ref="F2:F65" si="0">IF(C2=C3,0,1)</f>
        <v>0</v>
      </c>
      <c r="G2">
        <f t="shared" ref="G2:G65" si="1">IF(D2=D3,0,1)</f>
        <v>0</v>
      </c>
      <c r="H2">
        <f t="shared" ref="H2:H65" si="2">IF(E2=E3,0,1)</f>
        <v>0</v>
      </c>
      <c r="I2">
        <f t="shared" ref="I2:I65" si="3">IF(J2=J3,0,1)</f>
        <v>0</v>
      </c>
      <c r="J2" t="s">
        <v>656</v>
      </c>
      <c r="K2" t="s">
        <v>412</v>
      </c>
      <c r="L2" t="s">
        <v>664</v>
      </c>
      <c r="M2" t="s">
        <v>665</v>
      </c>
    </row>
    <row r="3" spans="1:13" x14ac:dyDescent="0.35">
      <c r="A3">
        <v>2024</v>
      </c>
      <c r="B3" t="s">
        <v>186</v>
      </c>
      <c r="C3" t="s">
        <v>655</v>
      </c>
      <c r="D3" t="s">
        <v>341</v>
      </c>
      <c r="E3" t="s">
        <v>655</v>
      </c>
      <c r="F3">
        <f t="shared" si="0"/>
        <v>0</v>
      </c>
      <c r="G3">
        <f t="shared" si="1"/>
        <v>0</v>
      </c>
      <c r="H3">
        <f t="shared" si="2"/>
        <v>0</v>
      </c>
      <c r="I3">
        <f t="shared" si="3"/>
        <v>0</v>
      </c>
      <c r="J3" t="s">
        <v>656</v>
      </c>
      <c r="K3" t="s">
        <v>412</v>
      </c>
      <c r="L3" t="s">
        <v>664</v>
      </c>
      <c r="M3" t="s">
        <v>665</v>
      </c>
    </row>
    <row r="4" spans="1:13" x14ac:dyDescent="0.35">
      <c r="A4">
        <v>2023</v>
      </c>
      <c r="B4" t="s">
        <v>186</v>
      </c>
      <c r="C4" t="s">
        <v>655</v>
      </c>
      <c r="D4" t="s">
        <v>341</v>
      </c>
      <c r="E4" t="s">
        <v>655</v>
      </c>
      <c r="F4">
        <f t="shared" si="0"/>
        <v>1</v>
      </c>
      <c r="G4">
        <f t="shared" si="1"/>
        <v>1</v>
      </c>
      <c r="H4">
        <f t="shared" si="2"/>
        <v>1</v>
      </c>
      <c r="I4">
        <f t="shared" si="3"/>
        <v>1</v>
      </c>
      <c r="J4" t="s">
        <v>656</v>
      </c>
      <c r="K4" t="s">
        <v>412</v>
      </c>
      <c r="L4" t="s">
        <v>664</v>
      </c>
      <c r="M4" t="s">
        <v>665</v>
      </c>
    </row>
    <row r="5" spans="1:13" x14ac:dyDescent="0.35">
      <c r="A5">
        <v>2022</v>
      </c>
      <c r="B5" t="s">
        <v>186</v>
      </c>
      <c r="C5" t="s">
        <v>237</v>
      </c>
      <c r="D5" t="s">
        <v>237</v>
      </c>
      <c r="E5" t="s">
        <v>42</v>
      </c>
      <c r="F5">
        <f t="shared" si="0"/>
        <v>0</v>
      </c>
      <c r="G5">
        <f t="shared" si="1"/>
        <v>0</v>
      </c>
      <c r="H5">
        <f t="shared" si="2"/>
        <v>0</v>
      </c>
      <c r="I5">
        <f t="shared" si="3"/>
        <v>0</v>
      </c>
      <c r="J5" t="s">
        <v>302</v>
      </c>
      <c r="K5" t="s">
        <v>412</v>
      </c>
      <c r="L5" t="s">
        <v>631</v>
      </c>
      <c r="M5" t="s">
        <v>670</v>
      </c>
    </row>
    <row r="6" spans="1:13" x14ac:dyDescent="0.35">
      <c r="A6">
        <v>2021</v>
      </c>
      <c r="B6" t="s">
        <v>186</v>
      </c>
      <c r="C6" t="s">
        <v>237</v>
      </c>
      <c r="D6" t="s">
        <v>237</v>
      </c>
      <c r="E6" t="s">
        <v>42</v>
      </c>
      <c r="F6">
        <f t="shared" si="0"/>
        <v>0</v>
      </c>
      <c r="G6">
        <f t="shared" si="1"/>
        <v>0</v>
      </c>
      <c r="H6">
        <f t="shared" si="2"/>
        <v>0</v>
      </c>
      <c r="I6">
        <f t="shared" si="3"/>
        <v>0</v>
      </c>
      <c r="J6" t="s">
        <v>302</v>
      </c>
      <c r="K6" t="s">
        <v>412</v>
      </c>
      <c r="L6" t="s">
        <v>631</v>
      </c>
      <c r="M6" t="s">
        <v>670</v>
      </c>
    </row>
    <row r="7" spans="1:13" x14ac:dyDescent="0.35">
      <c r="A7">
        <v>2020</v>
      </c>
      <c r="B7" t="s">
        <v>186</v>
      </c>
      <c r="C7" t="s">
        <v>237</v>
      </c>
      <c r="D7" t="s">
        <v>237</v>
      </c>
      <c r="E7" t="s">
        <v>42</v>
      </c>
      <c r="F7">
        <f t="shared" si="0"/>
        <v>0</v>
      </c>
      <c r="G7">
        <f t="shared" si="1"/>
        <v>0</v>
      </c>
      <c r="H7">
        <f t="shared" si="2"/>
        <v>0</v>
      </c>
      <c r="I7">
        <f t="shared" si="3"/>
        <v>0</v>
      </c>
      <c r="J7" t="s">
        <v>302</v>
      </c>
      <c r="K7" t="s">
        <v>412</v>
      </c>
      <c r="L7" t="s">
        <v>631</v>
      </c>
      <c r="M7" t="s">
        <v>670</v>
      </c>
    </row>
    <row r="8" spans="1:13" x14ac:dyDescent="0.35">
      <c r="A8">
        <v>2019</v>
      </c>
      <c r="B8" t="s">
        <v>186</v>
      </c>
      <c r="C8" t="s">
        <v>237</v>
      </c>
      <c r="D8" t="s">
        <v>237</v>
      </c>
      <c r="E8" t="s">
        <v>42</v>
      </c>
      <c r="F8">
        <f t="shared" si="0"/>
        <v>1</v>
      </c>
      <c r="G8">
        <f t="shared" si="1"/>
        <v>1</v>
      </c>
      <c r="H8">
        <f t="shared" si="2"/>
        <v>1</v>
      </c>
      <c r="I8">
        <f t="shared" si="3"/>
        <v>0</v>
      </c>
      <c r="J8" t="s">
        <v>302</v>
      </c>
      <c r="K8" t="s">
        <v>412</v>
      </c>
      <c r="L8" t="s">
        <v>631</v>
      </c>
      <c r="M8" t="s">
        <v>670</v>
      </c>
    </row>
    <row r="9" spans="1:13" x14ac:dyDescent="0.35">
      <c r="A9">
        <v>2018</v>
      </c>
      <c r="B9" t="s">
        <v>186</v>
      </c>
      <c r="C9" t="s">
        <v>108</v>
      </c>
      <c r="D9" t="s">
        <v>170</v>
      </c>
      <c r="E9" t="s">
        <v>108</v>
      </c>
      <c r="F9">
        <f t="shared" si="0"/>
        <v>1</v>
      </c>
      <c r="G9">
        <f t="shared" si="1"/>
        <v>1</v>
      </c>
      <c r="H9">
        <f t="shared" si="2"/>
        <v>1</v>
      </c>
      <c r="I9">
        <f t="shared" si="3"/>
        <v>0</v>
      </c>
      <c r="J9" t="s">
        <v>302</v>
      </c>
      <c r="K9" t="s">
        <v>412</v>
      </c>
      <c r="L9" t="s">
        <v>626</v>
      </c>
      <c r="M9" t="s">
        <v>667</v>
      </c>
    </row>
    <row r="10" spans="1:13" x14ac:dyDescent="0.35">
      <c r="A10">
        <v>2017</v>
      </c>
      <c r="B10" t="s">
        <v>186</v>
      </c>
      <c r="C10" t="s">
        <v>78</v>
      </c>
      <c r="D10" t="s">
        <v>78</v>
      </c>
      <c r="E10" t="s">
        <v>204</v>
      </c>
      <c r="F10">
        <f t="shared" si="0"/>
        <v>0</v>
      </c>
      <c r="G10">
        <f t="shared" si="1"/>
        <v>0</v>
      </c>
      <c r="H10">
        <f t="shared" si="2"/>
        <v>0</v>
      </c>
      <c r="I10">
        <f t="shared" si="3"/>
        <v>0</v>
      </c>
      <c r="J10" t="s">
        <v>302</v>
      </c>
      <c r="K10" t="s">
        <v>412</v>
      </c>
      <c r="L10" t="s">
        <v>622</v>
      </c>
      <c r="M10" t="s">
        <v>674</v>
      </c>
    </row>
    <row r="11" spans="1:13" x14ac:dyDescent="0.35">
      <c r="A11">
        <v>2016</v>
      </c>
      <c r="B11" t="s">
        <v>186</v>
      </c>
      <c r="C11" t="s">
        <v>78</v>
      </c>
      <c r="D11" t="s">
        <v>78</v>
      </c>
      <c r="E11" t="s">
        <v>204</v>
      </c>
      <c r="F11">
        <f t="shared" si="0"/>
        <v>0</v>
      </c>
      <c r="G11">
        <f t="shared" si="1"/>
        <v>0</v>
      </c>
      <c r="H11">
        <f t="shared" si="2"/>
        <v>0</v>
      </c>
      <c r="I11">
        <f t="shared" si="3"/>
        <v>0</v>
      </c>
      <c r="J11" t="s">
        <v>302</v>
      </c>
      <c r="K11" t="s">
        <v>412</v>
      </c>
      <c r="L11" t="s">
        <v>622</v>
      </c>
      <c r="M11" t="s">
        <v>674</v>
      </c>
    </row>
    <row r="12" spans="1:13" x14ac:dyDescent="0.35">
      <c r="A12">
        <v>2015</v>
      </c>
      <c r="B12" t="s">
        <v>186</v>
      </c>
      <c r="C12" t="s">
        <v>78</v>
      </c>
      <c r="D12" t="s">
        <v>78</v>
      </c>
      <c r="E12" t="s">
        <v>204</v>
      </c>
      <c r="F12">
        <f t="shared" si="0"/>
        <v>0</v>
      </c>
      <c r="G12">
        <f t="shared" si="1"/>
        <v>0</v>
      </c>
      <c r="H12">
        <f t="shared" si="2"/>
        <v>1</v>
      </c>
      <c r="I12">
        <f t="shared" si="3"/>
        <v>0</v>
      </c>
      <c r="J12" t="s">
        <v>302</v>
      </c>
      <c r="K12" t="s">
        <v>412</v>
      </c>
      <c r="L12" t="s">
        <v>622</v>
      </c>
      <c r="M12" t="s">
        <v>674</v>
      </c>
    </row>
    <row r="13" spans="1:13" x14ac:dyDescent="0.35">
      <c r="A13">
        <v>2014</v>
      </c>
      <c r="B13" t="s">
        <v>186</v>
      </c>
      <c r="C13" t="s">
        <v>78</v>
      </c>
      <c r="D13" t="s">
        <v>78</v>
      </c>
      <c r="E13" t="s">
        <v>53</v>
      </c>
      <c r="F13">
        <f t="shared" si="0"/>
        <v>0</v>
      </c>
      <c r="G13">
        <f t="shared" si="1"/>
        <v>0</v>
      </c>
      <c r="H13">
        <f t="shared" si="2"/>
        <v>0</v>
      </c>
      <c r="I13">
        <f t="shared" si="3"/>
        <v>0</v>
      </c>
      <c r="J13" t="s">
        <v>302</v>
      </c>
      <c r="K13" t="s">
        <v>412</v>
      </c>
      <c r="L13" t="s">
        <v>622</v>
      </c>
      <c r="M13" t="s">
        <v>674</v>
      </c>
    </row>
    <row r="14" spans="1:13" x14ac:dyDescent="0.35">
      <c r="A14">
        <v>2013</v>
      </c>
      <c r="B14" t="s">
        <v>186</v>
      </c>
      <c r="C14" t="s">
        <v>78</v>
      </c>
      <c r="D14" t="s">
        <v>78</v>
      </c>
      <c r="E14" t="s">
        <v>53</v>
      </c>
      <c r="F14">
        <f t="shared" si="0"/>
        <v>1</v>
      </c>
      <c r="G14">
        <f t="shared" si="1"/>
        <v>1</v>
      </c>
      <c r="H14">
        <f t="shared" si="2"/>
        <v>1</v>
      </c>
      <c r="I14">
        <f t="shared" si="3"/>
        <v>1</v>
      </c>
      <c r="J14" t="s">
        <v>302</v>
      </c>
      <c r="K14" t="s">
        <v>412</v>
      </c>
      <c r="L14" t="s">
        <v>622</v>
      </c>
      <c r="M14" t="s">
        <v>674</v>
      </c>
    </row>
    <row r="15" spans="1:13" x14ac:dyDescent="0.35">
      <c r="A15">
        <v>2012</v>
      </c>
      <c r="B15" t="s">
        <v>186</v>
      </c>
      <c r="C15" t="s">
        <v>64</v>
      </c>
      <c r="D15" t="s">
        <v>238</v>
      </c>
      <c r="E15" t="s">
        <v>66</v>
      </c>
      <c r="F15">
        <f t="shared" si="0"/>
        <v>0</v>
      </c>
      <c r="G15">
        <f t="shared" si="1"/>
        <v>0</v>
      </c>
      <c r="H15">
        <f t="shared" si="2"/>
        <v>1</v>
      </c>
      <c r="I15">
        <f t="shared" si="3"/>
        <v>0</v>
      </c>
      <c r="J15" t="s">
        <v>303</v>
      </c>
      <c r="K15" t="s">
        <v>412</v>
      </c>
      <c r="L15" t="s">
        <v>621</v>
      </c>
      <c r="M15" t="s">
        <v>671</v>
      </c>
    </row>
    <row r="16" spans="1:13" x14ac:dyDescent="0.35">
      <c r="A16">
        <v>2011</v>
      </c>
      <c r="B16" t="s">
        <v>186</v>
      </c>
      <c r="C16" t="s">
        <v>64</v>
      </c>
      <c r="D16" t="s">
        <v>238</v>
      </c>
      <c r="E16" t="s">
        <v>192</v>
      </c>
      <c r="F16">
        <f t="shared" si="0"/>
        <v>0</v>
      </c>
      <c r="G16">
        <f t="shared" si="1"/>
        <v>1</v>
      </c>
      <c r="H16">
        <f t="shared" si="2"/>
        <v>0</v>
      </c>
      <c r="I16">
        <f t="shared" si="3"/>
        <v>0</v>
      </c>
      <c r="J16" t="s">
        <v>303</v>
      </c>
      <c r="K16" t="s">
        <v>412</v>
      </c>
      <c r="L16" t="s">
        <v>623</v>
      </c>
      <c r="M16" t="s">
        <v>674</v>
      </c>
    </row>
    <row r="17" spans="1:13" hidden="1" x14ac:dyDescent="0.35">
      <c r="A17">
        <v>2010</v>
      </c>
      <c r="B17" t="s">
        <v>186</v>
      </c>
      <c r="C17" t="s">
        <v>64</v>
      </c>
      <c r="D17" t="s">
        <v>64</v>
      </c>
      <c r="E17" t="s">
        <v>192</v>
      </c>
      <c r="F17">
        <f t="shared" si="0"/>
        <v>0</v>
      </c>
      <c r="G17">
        <f t="shared" si="1"/>
        <v>0</v>
      </c>
      <c r="H17">
        <f t="shared" si="2"/>
        <v>0</v>
      </c>
      <c r="I17">
        <f t="shared" si="3"/>
        <v>0</v>
      </c>
      <c r="J17" t="s">
        <v>303</v>
      </c>
      <c r="K17" t="s">
        <v>412</v>
      </c>
      <c r="L17" t="s">
        <v>623</v>
      </c>
      <c r="M17" t="s">
        <v>674</v>
      </c>
    </row>
    <row r="18" spans="1:13" hidden="1" x14ac:dyDescent="0.35">
      <c r="A18">
        <v>2009</v>
      </c>
      <c r="B18" t="s">
        <v>186</v>
      </c>
      <c r="C18" t="s">
        <v>64</v>
      </c>
      <c r="D18" t="s">
        <v>64</v>
      </c>
      <c r="E18" t="s">
        <v>192</v>
      </c>
      <c r="F18">
        <f t="shared" si="0"/>
        <v>0</v>
      </c>
      <c r="G18">
        <f t="shared" si="1"/>
        <v>1</v>
      </c>
      <c r="H18">
        <f t="shared" si="2"/>
        <v>1</v>
      </c>
      <c r="I18">
        <f t="shared" si="3"/>
        <v>0</v>
      </c>
      <c r="J18" t="s">
        <v>303</v>
      </c>
      <c r="K18" t="s">
        <v>412</v>
      </c>
      <c r="L18" t="s">
        <v>623</v>
      </c>
    </row>
    <row r="19" spans="1:13" hidden="1" x14ac:dyDescent="0.35">
      <c r="A19">
        <v>2008</v>
      </c>
      <c r="B19" t="s">
        <v>186</v>
      </c>
      <c r="C19" t="s">
        <v>64</v>
      </c>
      <c r="D19" t="s">
        <v>102</v>
      </c>
      <c r="E19" t="s">
        <v>382</v>
      </c>
      <c r="F19">
        <f t="shared" si="0"/>
        <v>0</v>
      </c>
      <c r="G19">
        <f t="shared" si="1"/>
        <v>0</v>
      </c>
      <c r="H19">
        <f t="shared" si="2"/>
        <v>0</v>
      </c>
      <c r="I19">
        <f t="shared" si="3"/>
        <v>0</v>
      </c>
      <c r="J19" t="s">
        <v>303</v>
      </c>
      <c r="K19" t="s">
        <v>412</v>
      </c>
    </row>
    <row r="20" spans="1:13" hidden="1" x14ac:dyDescent="0.35">
      <c r="A20">
        <v>2007</v>
      </c>
      <c r="B20" t="s">
        <v>186</v>
      </c>
      <c r="C20" t="s">
        <v>64</v>
      </c>
      <c r="D20" t="s">
        <v>102</v>
      </c>
      <c r="E20" t="s">
        <v>382</v>
      </c>
      <c r="F20">
        <f t="shared" si="0"/>
        <v>1</v>
      </c>
      <c r="G20">
        <f t="shared" si="1"/>
        <v>1</v>
      </c>
      <c r="H20">
        <f t="shared" si="2"/>
        <v>0</v>
      </c>
      <c r="I20">
        <f t="shared" si="3"/>
        <v>0</v>
      </c>
      <c r="J20" t="s">
        <v>303</v>
      </c>
      <c r="K20" t="s">
        <v>412</v>
      </c>
    </row>
    <row r="21" spans="1:13" hidden="1" x14ac:dyDescent="0.35">
      <c r="A21">
        <v>2006</v>
      </c>
      <c r="B21" t="s">
        <v>186</v>
      </c>
      <c r="C21" t="s">
        <v>383</v>
      </c>
      <c r="D21" t="s">
        <v>384</v>
      </c>
      <c r="E21" t="s">
        <v>382</v>
      </c>
      <c r="F21">
        <f t="shared" si="0"/>
        <v>0</v>
      </c>
      <c r="G21">
        <f t="shared" si="1"/>
        <v>0</v>
      </c>
      <c r="H21">
        <f t="shared" si="2"/>
        <v>0</v>
      </c>
      <c r="I21">
        <f t="shared" si="3"/>
        <v>0</v>
      </c>
      <c r="J21" t="s">
        <v>303</v>
      </c>
      <c r="K21" t="s">
        <v>412</v>
      </c>
    </row>
    <row r="22" spans="1:13" hidden="1" x14ac:dyDescent="0.35">
      <c r="A22">
        <v>2005</v>
      </c>
      <c r="B22" t="s">
        <v>186</v>
      </c>
      <c r="C22" t="s">
        <v>383</v>
      </c>
      <c r="D22" t="s">
        <v>384</v>
      </c>
      <c r="E22" t="s">
        <v>382</v>
      </c>
      <c r="F22">
        <f t="shared" si="0"/>
        <v>0</v>
      </c>
      <c r="G22">
        <f t="shared" si="1"/>
        <v>1</v>
      </c>
      <c r="H22">
        <f t="shared" si="2"/>
        <v>0</v>
      </c>
      <c r="I22">
        <f t="shared" si="3"/>
        <v>0</v>
      </c>
      <c r="J22" t="s">
        <v>303</v>
      </c>
      <c r="K22" t="s">
        <v>412</v>
      </c>
    </row>
    <row r="23" spans="1:13" hidden="1" x14ac:dyDescent="0.35">
      <c r="A23">
        <v>2004</v>
      </c>
      <c r="B23" t="s">
        <v>186</v>
      </c>
      <c r="C23" t="s">
        <v>383</v>
      </c>
      <c r="D23" t="s">
        <v>385</v>
      </c>
      <c r="E23" t="s">
        <v>382</v>
      </c>
      <c r="F23">
        <f t="shared" si="0"/>
        <v>1</v>
      </c>
      <c r="G23">
        <f t="shared" si="1"/>
        <v>1</v>
      </c>
      <c r="H23">
        <f t="shared" si="2"/>
        <v>1</v>
      </c>
      <c r="I23">
        <f t="shared" si="3"/>
        <v>0</v>
      </c>
      <c r="J23" t="s">
        <v>303</v>
      </c>
      <c r="K23" t="s">
        <v>412</v>
      </c>
      <c r="L23" t="s">
        <v>621</v>
      </c>
    </row>
    <row r="24" spans="1:13" hidden="1" x14ac:dyDescent="0.35">
      <c r="A24">
        <v>2003</v>
      </c>
      <c r="B24" t="s">
        <v>186</v>
      </c>
      <c r="C24" t="s">
        <v>386</v>
      </c>
      <c r="D24" t="s">
        <v>387</v>
      </c>
      <c r="E24" t="s">
        <v>388</v>
      </c>
      <c r="F24">
        <f t="shared" si="0"/>
        <v>0</v>
      </c>
      <c r="G24">
        <f t="shared" si="1"/>
        <v>1</v>
      </c>
      <c r="H24">
        <f t="shared" si="2"/>
        <v>0</v>
      </c>
      <c r="I24">
        <f t="shared" si="3"/>
        <v>1</v>
      </c>
      <c r="J24" t="s">
        <v>303</v>
      </c>
      <c r="K24" t="s">
        <v>412</v>
      </c>
      <c r="L24" t="s">
        <v>633</v>
      </c>
    </row>
    <row r="25" spans="1:13" hidden="1" x14ac:dyDescent="0.35">
      <c r="A25">
        <v>2002</v>
      </c>
      <c r="B25" t="s">
        <v>186</v>
      </c>
      <c r="C25" t="s">
        <v>386</v>
      </c>
      <c r="D25" t="s">
        <v>389</v>
      </c>
      <c r="E25" t="s">
        <v>388</v>
      </c>
      <c r="F25">
        <f t="shared" si="0"/>
        <v>0</v>
      </c>
      <c r="G25">
        <f t="shared" si="1"/>
        <v>0</v>
      </c>
      <c r="H25">
        <f t="shared" si="2"/>
        <v>0</v>
      </c>
      <c r="I25">
        <f t="shared" si="3"/>
        <v>0</v>
      </c>
      <c r="J25" t="s">
        <v>390</v>
      </c>
      <c r="K25" t="s">
        <v>412</v>
      </c>
    </row>
    <row r="26" spans="1:13" hidden="1" x14ac:dyDescent="0.35">
      <c r="A26">
        <v>2001</v>
      </c>
      <c r="B26" t="s">
        <v>186</v>
      </c>
      <c r="C26" t="s">
        <v>386</v>
      </c>
      <c r="D26" t="s">
        <v>389</v>
      </c>
      <c r="E26" t="s">
        <v>388</v>
      </c>
      <c r="F26">
        <f t="shared" si="0"/>
        <v>1</v>
      </c>
      <c r="G26">
        <f t="shared" si="1"/>
        <v>1</v>
      </c>
      <c r="H26">
        <f t="shared" si="2"/>
        <v>0</v>
      </c>
      <c r="I26">
        <f t="shared" si="3"/>
        <v>0</v>
      </c>
      <c r="J26" t="s">
        <v>390</v>
      </c>
      <c r="K26" t="s">
        <v>412</v>
      </c>
    </row>
    <row r="27" spans="1:13" hidden="1" x14ac:dyDescent="0.35">
      <c r="A27">
        <v>2000</v>
      </c>
      <c r="B27" t="s">
        <v>186</v>
      </c>
      <c r="C27" t="s">
        <v>391</v>
      </c>
      <c r="D27" t="s">
        <v>136</v>
      </c>
      <c r="E27" t="s">
        <v>388</v>
      </c>
      <c r="F27">
        <f t="shared" si="0"/>
        <v>0</v>
      </c>
      <c r="G27">
        <f t="shared" si="1"/>
        <v>0</v>
      </c>
      <c r="H27">
        <f t="shared" si="2"/>
        <v>1</v>
      </c>
      <c r="I27">
        <f t="shared" si="3"/>
        <v>0</v>
      </c>
      <c r="J27" t="s">
        <v>390</v>
      </c>
      <c r="K27" t="s">
        <v>412</v>
      </c>
      <c r="L27" t="s">
        <v>623</v>
      </c>
    </row>
    <row r="28" spans="1:13" hidden="1" x14ac:dyDescent="0.35">
      <c r="A28">
        <v>1999</v>
      </c>
      <c r="B28" t="s">
        <v>186</v>
      </c>
      <c r="C28" t="s">
        <v>391</v>
      </c>
      <c r="D28" t="s">
        <v>136</v>
      </c>
      <c r="E28" t="s">
        <v>386</v>
      </c>
      <c r="F28">
        <f t="shared" si="0"/>
        <v>1</v>
      </c>
      <c r="G28">
        <f t="shared" si="1"/>
        <v>1</v>
      </c>
      <c r="H28">
        <f t="shared" si="2"/>
        <v>1</v>
      </c>
      <c r="I28">
        <f t="shared" si="3"/>
        <v>1</v>
      </c>
      <c r="J28" t="s">
        <v>390</v>
      </c>
      <c r="K28" t="s">
        <v>412</v>
      </c>
      <c r="L28" t="s">
        <v>623</v>
      </c>
    </row>
    <row r="29" spans="1:13" x14ac:dyDescent="0.35">
      <c r="A29">
        <v>2025</v>
      </c>
      <c r="B29" t="s">
        <v>190</v>
      </c>
      <c r="C29" t="s">
        <v>242</v>
      </c>
      <c r="D29" t="s">
        <v>666</v>
      </c>
      <c r="E29" t="s">
        <v>242</v>
      </c>
      <c r="F29">
        <f t="shared" si="0"/>
        <v>0</v>
      </c>
      <c r="G29">
        <f t="shared" si="1"/>
        <v>0</v>
      </c>
      <c r="H29">
        <f t="shared" si="2"/>
        <v>0</v>
      </c>
      <c r="I29">
        <f t="shared" si="3"/>
        <v>0</v>
      </c>
      <c r="J29" t="s">
        <v>392</v>
      </c>
      <c r="K29" t="s">
        <v>410</v>
      </c>
      <c r="L29" t="s">
        <v>627</v>
      </c>
      <c r="M29" t="s">
        <v>667</v>
      </c>
    </row>
    <row r="30" spans="1:13" x14ac:dyDescent="0.35">
      <c r="A30">
        <v>2024</v>
      </c>
      <c r="B30" t="s">
        <v>190</v>
      </c>
      <c r="C30" t="s">
        <v>242</v>
      </c>
      <c r="D30" t="s">
        <v>666</v>
      </c>
      <c r="E30" t="s">
        <v>242</v>
      </c>
      <c r="F30">
        <f t="shared" si="0"/>
        <v>1</v>
      </c>
      <c r="G30">
        <f t="shared" si="1"/>
        <v>1</v>
      </c>
      <c r="H30">
        <f t="shared" si="2"/>
        <v>1</v>
      </c>
      <c r="I30">
        <f t="shared" si="3"/>
        <v>0</v>
      </c>
      <c r="J30" t="s">
        <v>392</v>
      </c>
      <c r="K30" t="s">
        <v>410</v>
      </c>
      <c r="L30" t="s">
        <v>627</v>
      </c>
      <c r="M30" t="s">
        <v>667</v>
      </c>
    </row>
    <row r="31" spans="1:13" x14ac:dyDescent="0.35">
      <c r="A31">
        <v>2023</v>
      </c>
      <c r="B31" t="s">
        <v>190</v>
      </c>
      <c r="C31" t="s">
        <v>58</v>
      </c>
      <c r="D31" t="s">
        <v>58</v>
      </c>
      <c r="E31" t="s">
        <v>657</v>
      </c>
      <c r="F31">
        <f t="shared" si="0"/>
        <v>0</v>
      </c>
      <c r="G31">
        <f t="shared" si="1"/>
        <v>0</v>
      </c>
      <c r="H31">
        <f t="shared" si="2"/>
        <v>1</v>
      </c>
      <c r="I31">
        <f t="shared" si="3"/>
        <v>0</v>
      </c>
      <c r="J31" t="s">
        <v>392</v>
      </c>
      <c r="K31" t="s">
        <v>410</v>
      </c>
      <c r="L31" t="s">
        <v>626</v>
      </c>
      <c r="M31" t="s">
        <v>671</v>
      </c>
    </row>
    <row r="32" spans="1:13" x14ac:dyDescent="0.35">
      <c r="A32">
        <v>2022</v>
      </c>
      <c r="B32" t="s">
        <v>190</v>
      </c>
      <c r="C32" t="s">
        <v>58</v>
      </c>
      <c r="D32" t="s">
        <v>58</v>
      </c>
      <c r="E32" t="s">
        <v>59</v>
      </c>
      <c r="F32">
        <f t="shared" si="0"/>
        <v>0</v>
      </c>
      <c r="G32">
        <f t="shared" si="1"/>
        <v>0</v>
      </c>
      <c r="H32">
        <f t="shared" si="2"/>
        <v>0</v>
      </c>
      <c r="I32">
        <f t="shared" si="3"/>
        <v>0</v>
      </c>
      <c r="J32" t="s">
        <v>392</v>
      </c>
      <c r="K32" t="s">
        <v>410</v>
      </c>
      <c r="L32" t="s">
        <v>627</v>
      </c>
      <c r="M32" t="s">
        <v>671</v>
      </c>
    </row>
    <row r="33" spans="1:13" x14ac:dyDescent="0.35">
      <c r="A33">
        <v>2021</v>
      </c>
      <c r="B33" t="s">
        <v>190</v>
      </c>
      <c r="C33" t="s">
        <v>58</v>
      </c>
      <c r="D33" t="s">
        <v>58</v>
      </c>
      <c r="E33" t="s">
        <v>59</v>
      </c>
      <c r="F33">
        <f t="shared" si="0"/>
        <v>1</v>
      </c>
      <c r="G33">
        <f t="shared" si="1"/>
        <v>1</v>
      </c>
      <c r="H33">
        <f t="shared" si="2"/>
        <v>1</v>
      </c>
      <c r="I33">
        <f t="shared" si="3"/>
        <v>1</v>
      </c>
      <c r="J33" t="s">
        <v>392</v>
      </c>
      <c r="K33" t="s">
        <v>410</v>
      </c>
      <c r="L33" t="s">
        <v>627</v>
      </c>
      <c r="M33" t="s">
        <v>671</v>
      </c>
    </row>
    <row r="34" spans="1:13" x14ac:dyDescent="0.35">
      <c r="A34">
        <v>2020</v>
      </c>
      <c r="B34" t="s">
        <v>190</v>
      </c>
      <c r="C34" t="s">
        <v>226</v>
      </c>
      <c r="D34" t="s">
        <v>91</v>
      </c>
      <c r="E34" t="s">
        <v>242</v>
      </c>
      <c r="F34">
        <f t="shared" si="0"/>
        <v>0</v>
      </c>
      <c r="G34">
        <f t="shared" si="1"/>
        <v>0</v>
      </c>
      <c r="H34">
        <f t="shared" si="2"/>
        <v>1</v>
      </c>
      <c r="I34">
        <f t="shared" si="3"/>
        <v>0</v>
      </c>
      <c r="J34" t="s">
        <v>308</v>
      </c>
      <c r="K34" t="s">
        <v>410</v>
      </c>
      <c r="L34" t="s">
        <v>623</v>
      </c>
      <c r="M34" t="s">
        <v>667</v>
      </c>
    </row>
    <row r="35" spans="1:13" x14ac:dyDescent="0.35">
      <c r="A35">
        <v>2019</v>
      </c>
      <c r="B35" t="s">
        <v>190</v>
      </c>
      <c r="C35" t="s">
        <v>226</v>
      </c>
      <c r="D35" t="s">
        <v>91</v>
      </c>
      <c r="E35" t="s">
        <v>226</v>
      </c>
      <c r="F35">
        <f t="shared" si="0"/>
        <v>0</v>
      </c>
      <c r="G35">
        <f t="shared" si="1"/>
        <v>1</v>
      </c>
      <c r="H35">
        <f t="shared" si="2"/>
        <v>0</v>
      </c>
      <c r="I35">
        <f t="shared" si="3"/>
        <v>0</v>
      </c>
      <c r="J35" t="s">
        <v>308</v>
      </c>
      <c r="K35" t="s">
        <v>410</v>
      </c>
      <c r="L35" t="s">
        <v>623</v>
      </c>
      <c r="M35" t="s">
        <v>673</v>
      </c>
    </row>
    <row r="36" spans="1:13" x14ac:dyDescent="0.35">
      <c r="A36">
        <v>2018</v>
      </c>
      <c r="B36" t="s">
        <v>190</v>
      </c>
      <c r="C36" t="s">
        <v>226</v>
      </c>
      <c r="D36" t="s">
        <v>254</v>
      </c>
      <c r="E36" t="s">
        <v>226</v>
      </c>
      <c r="F36">
        <f t="shared" si="0"/>
        <v>0</v>
      </c>
      <c r="G36">
        <f t="shared" si="1"/>
        <v>0</v>
      </c>
      <c r="H36">
        <f t="shared" si="2"/>
        <v>0</v>
      </c>
      <c r="I36">
        <f t="shared" si="3"/>
        <v>0</v>
      </c>
      <c r="J36" t="s">
        <v>308</v>
      </c>
      <c r="K36" t="s">
        <v>410</v>
      </c>
      <c r="L36" t="s">
        <v>631</v>
      </c>
      <c r="M36" t="s">
        <v>673</v>
      </c>
    </row>
    <row r="37" spans="1:13" x14ac:dyDescent="0.35">
      <c r="A37">
        <v>2017</v>
      </c>
      <c r="B37" t="s">
        <v>190</v>
      </c>
      <c r="C37" t="s">
        <v>226</v>
      </c>
      <c r="D37" t="s">
        <v>254</v>
      </c>
      <c r="E37" t="s">
        <v>226</v>
      </c>
      <c r="F37">
        <f t="shared" si="0"/>
        <v>0</v>
      </c>
      <c r="G37">
        <f t="shared" si="1"/>
        <v>1</v>
      </c>
      <c r="H37">
        <f t="shared" si="2"/>
        <v>0</v>
      </c>
      <c r="I37">
        <f t="shared" si="3"/>
        <v>0</v>
      </c>
      <c r="J37" t="s">
        <v>308</v>
      </c>
      <c r="K37" t="s">
        <v>410</v>
      </c>
      <c r="L37" t="s">
        <v>631</v>
      </c>
      <c r="M37" t="s">
        <v>673</v>
      </c>
    </row>
    <row r="38" spans="1:13" x14ac:dyDescent="0.35">
      <c r="A38">
        <v>2016</v>
      </c>
      <c r="B38" t="s">
        <v>190</v>
      </c>
      <c r="C38" t="s">
        <v>226</v>
      </c>
      <c r="D38" t="s">
        <v>111</v>
      </c>
      <c r="E38" t="s">
        <v>226</v>
      </c>
      <c r="F38">
        <f t="shared" si="0"/>
        <v>0</v>
      </c>
      <c r="G38">
        <f t="shared" si="1"/>
        <v>0</v>
      </c>
      <c r="H38">
        <f t="shared" si="2"/>
        <v>0</v>
      </c>
      <c r="I38">
        <f t="shared" si="3"/>
        <v>0</v>
      </c>
      <c r="J38" t="s">
        <v>308</v>
      </c>
      <c r="K38" t="s">
        <v>410</v>
      </c>
      <c r="L38" t="s">
        <v>627</v>
      </c>
      <c r="M38" t="s">
        <v>673</v>
      </c>
    </row>
    <row r="39" spans="1:13" x14ac:dyDescent="0.35">
      <c r="A39">
        <v>2015</v>
      </c>
      <c r="B39" t="s">
        <v>190</v>
      </c>
      <c r="C39" t="s">
        <v>226</v>
      </c>
      <c r="D39" t="s">
        <v>111</v>
      </c>
      <c r="E39" t="s">
        <v>226</v>
      </c>
      <c r="F39">
        <f t="shared" si="0"/>
        <v>1</v>
      </c>
      <c r="G39">
        <f t="shared" si="1"/>
        <v>1</v>
      </c>
      <c r="H39">
        <f t="shared" si="2"/>
        <v>1</v>
      </c>
      <c r="I39">
        <f t="shared" si="3"/>
        <v>0</v>
      </c>
      <c r="J39" t="s">
        <v>308</v>
      </c>
      <c r="K39" t="s">
        <v>410</v>
      </c>
      <c r="L39" t="s">
        <v>627</v>
      </c>
      <c r="M39" t="s">
        <v>673</v>
      </c>
    </row>
    <row r="40" spans="1:13" x14ac:dyDescent="0.35">
      <c r="A40">
        <v>2014</v>
      </c>
      <c r="B40" t="s">
        <v>190</v>
      </c>
      <c r="C40" t="s">
        <v>240</v>
      </c>
      <c r="D40" t="s">
        <v>91</v>
      </c>
      <c r="E40" t="s">
        <v>49</v>
      </c>
      <c r="F40">
        <f t="shared" si="0"/>
        <v>0</v>
      </c>
      <c r="G40">
        <f t="shared" si="1"/>
        <v>0</v>
      </c>
      <c r="H40">
        <f t="shared" si="2"/>
        <v>0</v>
      </c>
      <c r="I40">
        <f t="shared" si="3"/>
        <v>0</v>
      </c>
      <c r="J40" t="s">
        <v>308</v>
      </c>
      <c r="K40" t="s">
        <v>410</v>
      </c>
      <c r="L40" t="s">
        <v>623</v>
      </c>
      <c r="M40" t="s">
        <v>670</v>
      </c>
    </row>
    <row r="41" spans="1:13" x14ac:dyDescent="0.35">
      <c r="A41">
        <v>2013</v>
      </c>
      <c r="B41" t="s">
        <v>190</v>
      </c>
      <c r="C41" t="s">
        <v>240</v>
      </c>
      <c r="D41" t="s">
        <v>91</v>
      </c>
      <c r="E41" t="s">
        <v>49</v>
      </c>
      <c r="F41">
        <f t="shared" si="0"/>
        <v>0</v>
      </c>
      <c r="G41">
        <f t="shared" si="1"/>
        <v>0</v>
      </c>
      <c r="H41">
        <f t="shared" si="2"/>
        <v>0</v>
      </c>
      <c r="I41">
        <f t="shared" si="3"/>
        <v>0</v>
      </c>
      <c r="J41" t="s">
        <v>308</v>
      </c>
      <c r="K41" t="s">
        <v>410</v>
      </c>
      <c r="L41" t="s">
        <v>623</v>
      </c>
      <c r="M41" t="s">
        <v>670</v>
      </c>
    </row>
    <row r="42" spans="1:13" x14ac:dyDescent="0.35">
      <c r="A42">
        <v>2012</v>
      </c>
      <c r="B42" t="s">
        <v>190</v>
      </c>
      <c r="C42" t="s">
        <v>240</v>
      </c>
      <c r="D42" t="s">
        <v>91</v>
      </c>
      <c r="E42" t="s">
        <v>49</v>
      </c>
      <c r="F42">
        <f t="shared" si="0"/>
        <v>0</v>
      </c>
      <c r="G42">
        <f t="shared" si="1"/>
        <v>1</v>
      </c>
      <c r="H42">
        <f t="shared" si="2"/>
        <v>1</v>
      </c>
      <c r="I42">
        <f t="shared" si="3"/>
        <v>0</v>
      </c>
      <c r="J42" t="s">
        <v>308</v>
      </c>
      <c r="K42" t="s">
        <v>410</v>
      </c>
      <c r="L42" t="s">
        <v>623</v>
      </c>
      <c r="M42" t="s">
        <v>670</v>
      </c>
    </row>
    <row r="43" spans="1:13" x14ac:dyDescent="0.35">
      <c r="A43">
        <v>2011</v>
      </c>
      <c r="B43" t="s">
        <v>190</v>
      </c>
      <c r="C43" t="s">
        <v>240</v>
      </c>
      <c r="D43" t="s">
        <v>61</v>
      </c>
      <c r="E43" t="s">
        <v>255</v>
      </c>
      <c r="F43">
        <f t="shared" si="0"/>
        <v>0</v>
      </c>
      <c r="G43">
        <f t="shared" si="1"/>
        <v>0</v>
      </c>
      <c r="H43">
        <f t="shared" si="2"/>
        <v>0</v>
      </c>
      <c r="I43">
        <f t="shared" si="3"/>
        <v>0</v>
      </c>
      <c r="J43" t="s">
        <v>308</v>
      </c>
      <c r="K43" t="s">
        <v>410</v>
      </c>
      <c r="L43" t="s">
        <v>626</v>
      </c>
      <c r="M43" t="s">
        <v>670</v>
      </c>
    </row>
    <row r="44" spans="1:13" hidden="1" x14ac:dyDescent="0.35">
      <c r="A44">
        <v>2010</v>
      </c>
      <c r="B44" t="s">
        <v>190</v>
      </c>
      <c r="C44" t="s">
        <v>240</v>
      </c>
      <c r="D44" t="s">
        <v>61</v>
      </c>
      <c r="E44" t="s">
        <v>255</v>
      </c>
      <c r="F44">
        <f t="shared" si="0"/>
        <v>0</v>
      </c>
      <c r="G44">
        <f t="shared" si="1"/>
        <v>0</v>
      </c>
      <c r="H44">
        <f t="shared" si="2"/>
        <v>0</v>
      </c>
      <c r="I44">
        <f t="shared" si="3"/>
        <v>0</v>
      </c>
      <c r="J44" t="s">
        <v>308</v>
      </c>
      <c r="K44" t="s">
        <v>410</v>
      </c>
      <c r="L44" t="s">
        <v>626</v>
      </c>
      <c r="M44" t="s">
        <v>670</v>
      </c>
    </row>
    <row r="45" spans="1:13" hidden="1" x14ac:dyDescent="0.35">
      <c r="A45">
        <v>2009</v>
      </c>
      <c r="B45" t="s">
        <v>190</v>
      </c>
      <c r="C45" t="s">
        <v>240</v>
      </c>
      <c r="D45" t="s">
        <v>61</v>
      </c>
      <c r="E45" t="s">
        <v>255</v>
      </c>
      <c r="F45">
        <f t="shared" si="0"/>
        <v>0</v>
      </c>
      <c r="G45">
        <f t="shared" si="1"/>
        <v>0</v>
      </c>
      <c r="H45">
        <f t="shared" si="2"/>
        <v>0</v>
      </c>
      <c r="I45">
        <f t="shared" si="3"/>
        <v>0</v>
      </c>
      <c r="J45" t="s">
        <v>308</v>
      </c>
      <c r="K45" t="s">
        <v>410</v>
      </c>
    </row>
    <row r="46" spans="1:13" hidden="1" x14ac:dyDescent="0.35">
      <c r="A46">
        <v>2008</v>
      </c>
      <c r="B46" t="s">
        <v>190</v>
      </c>
      <c r="C46" t="s">
        <v>240</v>
      </c>
      <c r="D46" t="s">
        <v>61</v>
      </c>
      <c r="E46" t="s">
        <v>255</v>
      </c>
      <c r="F46">
        <f t="shared" si="0"/>
        <v>1</v>
      </c>
      <c r="G46">
        <f t="shared" si="1"/>
        <v>1</v>
      </c>
      <c r="H46">
        <f t="shared" si="2"/>
        <v>1</v>
      </c>
      <c r="I46">
        <f t="shared" si="3"/>
        <v>1</v>
      </c>
      <c r="J46" t="s">
        <v>308</v>
      </c>
      <c r="K46" t="s">
        <v>410</v>
      </c>
    </row>
    <row r="47" spans="1:13" hidden="1" x14ac:dyDescent="0.35">
      <c r="A47">
        <v>2007</v>
      </c>
      <c r="B47" t="s">
        <v>190</v>
      </c>
      <c r="C47" t="s">
        <v>393</v>
      </c>
      <c r="D47" t="s">
        <v>109</v>
      </c>
      <c r="E47" t="s">
        <v>145</v>
      </c>
      <c r="F47">
        <f t="shared" si="0"/>
        <v>1</v>
      </c>
      <c r="G47">
        <f t="shared" si="1"/>
        <v>1</v>
      </c>
      <c r="H47">
        <f t="shared" si="2"/>
        <v>1</v>
      </c>
      <c r="I47">
        <f t="shared" si="3"/>
        <v>0</v>
      </c>
      <c r="J47" t="s">
        <v>394</v>
      </c>
      <c r="K47" t="s">
        <v>410</v>
      </c>
      <c r="L47" t="s">
        <v>632</v>
      </c>
    </row>
    <row r="48" spans="1:13" hidden="1" x14ac:dyDescent="0.35">
      <c r="A48">
        <v>2006</v>
      </c>
      <c r="B48" t="s">
        <v>190</v>
      </c>
      <c r="C48" t="s">
        <v>395</v>
      </c>
      <c r="D48" t="s">
        <v>160</v>
      </c>
      <c r="E48" t="s">
        <v>396</v>
      </c>
      <c r="F48">
        <f t="shared" si="0"/>
        <v>0</v>
      </c>
      <c r="G48">
        <f t="shared" si="1"/>
        <v>0</v>
      </c>
      <c r="H48">
        <f t="shared" si="2"/>
        <v>0</v>
      </c>
      <c r="I48">
        <f t="shared" si="3"/>
        <v>0</v>
      </c>
      <c r="J48" t="s">
        <v>394</v>
      </c>
      <c r="K48" t="s">
        <v>410</v>
      </c>
      <c r="L48" t="s">
        <v>621</v>
      </c>
    </row>
    <row r="49" spans="1:13" hidden="1" x14ac:dyDescent="0.35">
      <c r="A49">
        <v>2005</v>
      </c>
      <c r="B49" t="s">
        <v>190</v>
      </c>
      <c r="C49" t="s">
        <v>395</v>
      </c>
      <c r="D49" t="s">
        <v>160</v>
      </c>
      <c r="E49" t="s">
        <v>396</v>
      </c>
      <c r="F49">
        <f t="shared" si="0"/>
        <v>0</v>
      </c>
      <c r="G49">
        <f t="shared" si="1"/>
        <v>0</v>
      </c>
      <c r="H49">
        <f t="shared" si="2"/>
        <v>0</v>
      </c>
      <c r="I49">
        <f t="shared" si="3"/>
        <v>0</v>
      </c>
      <c r="J49" t="s">
        <v>394</v>
      </c>
      <c r="K49" t="s">
        <v>410</v>
      </c>
      <c r="L49" t="s">
        <v>621</v>
      </c>
    </row>
    <row r="50" spans="1:13" hidden="1" x14ac:dyDescent="0.35">
      <c r="A50">
        <v>2004</v>
      </c>
      <c r="B50" t="s">
        <v>190</v>
      </c>
      <c r="C50" t="s">
        <v>395</v>
      </c>
      <c r="D50" t="s">
        <v>160</v>
      </c>
      <c r="E50" t="s">
        <v>396</v>
      </c>
      <c r="F50">
        <f t="shared" si="0"/>
        <v>1</v>
      </c>
      <c r="G50">
        <f t="shared" si="1"/>
        <v>1</v>
      </c>
      <c r="H50">
        <f t="shared" si="2"/>
        <v>1</v>
      </c>
      <c r="I50">
        <f t="shared" si="3"/>
        <v>1</v>
      </c>
      <c r="J50" t="s">
        <v>394</v>
      </c>
      <c r="K50" t="s">
        <v>410</v>
      </c>
      <c r="L50" t="s">
        <v>621</v>
      </c>
    </row>
    <row r="51" spans="1:13" hidden="1" x14ac:dyDescent="0.35">
      <c r="A51">
        <v>2003</v>
      </c>
      <c r="B51" t="s">
        <v>190</v>
      </c>
      <c r="C51" t="s">
        <v>397</v>
      </c>
      <c r="D51" t="s">
        <v>398</v>
      </c>
      <c r="E51" t="s">
        <v>96</v>
      </c>
      <c r="F51">
        <f t="shared" si="0"/>
        <v>0</v>
      </c>
      <c r="G51">
        <f t="shared" si="1"/>
        <v>1</v>
      </c>
      <c r="H51">
        <f t="shared" si="2"/>
        <v>0</v>
      </c>
      <c r="I51">
        <f t="shared" si="3"/>
        <v>0</v>
      </c>
      <c r="J51" t="s">
        <v>397</v>
      </c>
      <c r="K51" t="s">
        <v>410</v>
      </c>
    </row>
    <row r="52" spans="1:13" hidden="1" x14ac:dyDescent="0.35">
      <c r="A52">
        <v>2002</v>
      </c>
      <c r="B52" t="s">
        <v>190</v>
      </c>
      <c r="C52" t="s">
        <v>397</v>
      </c>
      <c r="D52" t="s">
        <v>397</v>
      </c>
      <c r="E52" t="s">
        <v>96</v>
      </c>
      <c r="F52">
        <f t="shared" si="0"/>
        <v>0</v>
      </c>
      <c r="G52">
        <f t="shared" si="1"/>
        <v>1</v>
      </c>
      <c r="H52">
        <f t="shared" si="2"/>
        <v>1</v>
      </c>
      <c r="I52">
        <f t="shared" si="3"/>
        <v>1</v>
      </c>
      <c r="J52" t="s">
        <v>397</v>
      </c>
      <c r="K52" t="s">
        <v>410</v>
      </c>
      <c r="L52" t="s">
        <v>634</v>
      </c>
    </row>
    <row r="53" spans="1:13" hidden="1" x14ac:dyDescent="0.35">
      <c r="A53">
        <v>2001</v>
      </c>
      <c r="B53" t="s">
        <v>190</v>
      </c>
      <c r="C53" t="s">
        <v>397</v>
      </c>
      <c r="D53" t="s">
        <v>399</v>
      </c>
      <c r="E53" t="s">
        <v>400</v>
      </c>
      <c r="F53">
        <f t="shared" si="0"/>
        <v>0</v>
      </c>
      <c r="G53">
        <f t="shared" si="1"/>
        <v>0</v>
      </c>
      <c r="H53">
        <f t="shared" si="2"/>
        <v>1</v>
      </c>
      <c r="I53">
        <f t="shared" si="3"/>
        <v>0</v>
      </c>
      <c r="J53" t="s">
        <v>401</v>
      </c>
      <c r="K53" t="s">
        <v>411</v>
      </c>
      <c r="L53" t="s">
        <v>634</v>
      </c>
    </row>
    <row r="54" spans="1:13" hidden="1" x14ac:dyDescent="0.35">
      <c r="A54">
        <v>2000</v>
      </c>
      <c r="B54" t="s">
        <v>190</v>
      </c>
      <c r="C54" t="s">
        <v>397</v>
      </c>
      <c r="D54" t="s">
        <v>399</v>
      </c>
      <c r="E54" t="s">
        <v>402</v>
      </c>
      <c r="F54">
        <f t="shared" si="0"/>
        <v>0</v>
      </c>
      <c r="G54">
        <f t="shared" si="1"/>
        <v>0</v>
      </c>
      <c r="H54">
        <f t="shared" si="2"/>
        <v>0</v>
      </c>
      <c r="I54">
        <f t="shared" si="3"/>
        <v>0</v>
      </c>
      <c r="J54" t="s">
        <v>401</v>
      </c>
      <c r="K54" t="s">
        <v>411</v>
      </c>
      <c r="L54" t="s">
        <v>634</v>
      </c>
    </row>
    <row r="55" spans="1:13" hidden="1" x14ac:dyDescent="0.35">
      <c r="A55">
        <v>1999</v>
      </c>
      <c r="B55" t="s">
        <v>190</v>
      </c>
      <c r="C55" t="s">
        <v>397</v>
      </c>
      <c r="D55" t="s">
        <v>399</v>
      </c>
      <c r="E55" t="s">
        <v>402</v>
      </c>
      <c r="F55">
        <f t="shared" si="0"/>
        <v>1</v>
      </c>
      <c r="G55">
        <f t="shared" si="1"/>
        <v>1</v>
      </c>
      <c r="H55">
        <f t="shared" si="2"/>
        <v>1</v>
      </c>
      <c r="I55">
        <f t="shared" si="3"/>
        <v>1</v>
      </c>
      <c r="J55" t="s">
        <v>401</v>
      </c>
      <c r="K55" t="s">
        <v>411</v>
      </c>
      <c r="L55" t="s">
        <v>634</v>
      </c>
    </row>
    <row r="56" spans="1:13" x14ac:dyDescent="0.35">
      <c r="A56">
        <v>2025</v>
      </c>
      <c r="B56" t="s">
        <v>131</v>
      </c>
      <c r="C56" t="s">
        <v>132</v>
      </c>
      <c r="D56" t="s">
        <v>107</v>
      </c>
      <c r="E56" t="s">
        <v>668</v>
      </c>
      <c r="F56">
        <f t="shared" si="0"/>
        <v>0</v>
      </c>
      <c r="G56">
        <f t="shared" si="1"/>
        <v>0</v>
      </c>
      <c r="H56">
        <f t="shared" si="2"/>
        <v>0</v>
      </c>
      <c r="I56">
        <f t="shared" si="3"/>
        <v>0</v>
      </c>
      <c r="J56" t="s">
        <v>271</v>
      </c>
      <c r="K56" t="s">
        <v>409</v>
      </c>
      <c r="L56" t="s">
        <v>639</v>
      </c>
      <c r="M56" t="s">
        <v>669</v>
      </c>
    </row>
    <row r="57" spans="1:13" x14ac:dyDescent="0.35">
      <c r="A57">
        <v>2024</v>
      </c>
      <c r="B57" t="s">
        <v>131</v>
      </c>
      <c r="C57" t="s">
        <v>132</v>
      </c>
      <c r="D57" t="s">
        <v>107</v>
      </c>
      <c r="E57" t="s">
        <v>668</v>
      </c>
      <c r="F57">
        <f t="shared" si="0"/>
        <v>0</v>
      </c>
      <c r="G57">
        <f t="shared" si="1"/>
        <v>0</v>
      </c>
      <c r="H57">
        <f t="shared" si="2"/>
        <v>1</v>
      </c>
      <c r="I57">
        <f t="shared" si="3"/>
        <v>0</v>
      </c>
      <c r="J57" t="s">
        <v>271</v>
      </c>
      <c r="K57" t="s">
        <v>409</v>
      </c>
      <c r="L57" t="s">
        <v>639</v>
      </c>
      <c r="M57" t="s">
        <v>669</v>
      </c>
    </row>
    <row r="58" spans="1:13" x14ac:dyDescent="0.35">
      <c r="A58">
        <v>2023</v>
      </c>
      <c r="B58" t="s">
        <v>131</v>
      </c>
      <c r="C58" t="s">
        <v>132</v>
      </c>
      <c r="D58" t="s">
        <v>107</v>
      </c>
      <c r="E58" t="s">
        <v>644</v>
      </c>
      <c r="F58">
        <f t="shared" si="0"/>
        <v>0</v>
      </c>
      <c r="G58">
        <f t="shared" si="1"/>
        <v>1</v>
      </c>
      <c r="H58">
        <f t="shared" si="2"/>
        <v>0</v>
      </c>
      <c r="I58">
        <f t="shared" si="3"/>
        <v>0</v>
      </c>
      <c r="J58" t="s">
        <v>271</v>
      </c>
      <c r="K58" t="s">
        <v>409</v>
      </c>
      <c r="L58" t="s">
        <v>639</v>
      </c>
      <c r="M58" t="s">
        <v>669</v>
      </c>
    </row>
    <row r="59" spans="1:13" x14ac:dyDescent="0.35">
      <c r="A59">
        <v>2022</v>
      </c>
      <c r="B59" t="s">
        <v>131</v>
      </c>
      <c r="C59" t="s">
        <v>132</v>
      </c>
      <c r="D59" t="s">
        <v>13</v>
      </c>
      <c r="E59" t="s">
        <v>644</v>
      </c>
      <c r="F59">
        <f t="shared" si="0"/>
        <v>0</v>
      </c>
      <c r="G59">
        <f t="shared" si="1"/>
        <v>0</v>
      </c>
      <c r="H59">
        <f t="shared" si="2"/>
        <v>1</v>
      </c>
      <c r="I59">
        <f t="shared" si="3"/>
        <v>0</v>
      </c>
      <c r="J59" t="s">
        <v>271</v>
      </c>
      <c r="K59" t="s">
        <v>409</v>
      </c>
      <c r="L59" t="s">
        <v>639</v>
      </c>
      <c r="M59" t="s">
        <v>669</v>
      </c>
    </row>
    <row r="60" spans="1:13" x14ac:dyDescent="0.35">
      <c r="A60">
        <v>2021</v>
      </c>
      <c r="B60" t="s">
        <v>131</v>
      </c>
      <c r="C60" t="s">
        <v>132</v>
      </c>
      <c r="D60" t="s">
        <v>13</v>
      </c>
      <c r="E60" t="s">
        <v>133</v>
      </c>
      <c r="F60">
        <f t="shared" si="0"/>
        <v>0</v>
      </c>
      <c r="G60">
        <f t="shared" si="1"/>
        <v>0</v>
      </c>
      <c r="H60">
        <f t="shared" si="2"/>
        <v>0</v>
      </c>
      <c r="I60">
        <f t="shared" si="3"/>
        <v>0</v>
      </c>
      <c r="J60" t="s">
        <v>271</v>
      </c>
      <c r="K60" t="s">
        <v>409</v>
      </c>
      <c r="L60" t="s">
        <v>639</v>
      </c>
      <c r="M60" t="s">
        <v>669</v>
      </c>
    </row>
    <row r="61" spans="1:13" x14ac:dyDescent="0.35">
      <c r="A61">
        <v>2020</v>
      </c>
      <c r="B61" t="s">
        <v>131</v>
      </c>
      <c r="C61" t="s">
        <v>132</v>
      </c>
      <c r="D61" t="s">
        <v>13</v>
      </c>
      <c r="E61" t="s">
        <v>133</v>
      </c>
      <c r="F61">
        <f t="shared" si="0"/>
        <v>0</v>
      </c>
      <c r="G61">
        <f t="shared" si="1"/>
        <v>0</v>
      </c>
      <c r="H61">
        <f t="shared" si="2"/>
        <v>0</v>
      </c>
      <c r="I61">
        <f t="shared" si="3"/>
        <v>0</v>
      </c>
      <c r="J61" t="s">
        <v>271</v>
      </c>
      <c r="K61" t="s">
        <v>409</v>
      </c>
      <c r="L61" t="s">
        <v>639</v>
      </c>
      <c r="M61" t="s">
        <v>669</v>
      </c>
    </row>
    <row r="62" spans="1:13" x14ac:dyDescent="0.35">
      <c r="A62">
        <v>2019</v>
      </c>
      <c r="B62" t="s">
        <v>131</v>
      </c>
      <c r="C62" t="s">
        <v>132</v>
      </c>
      <c r="D62" t="s">
        <v>13</v>
      </c>
      <c r="E62" t="s">
        <v>133</v>
      </c>
      <c r="F62">
        <f t="shared" si="0"/>
        <v>0</v>
      </c>
      <c r="G62">
        <f t="shared" si="1"/>
        <v>1</v>
      </c>
      <c r="H62">
        <f t="shared" si="2"/>
        <v>0</v>
      </c>
      <c r="I62">
        <f t="shared" si="3"/>
        <v>1</v>
      </c>
      <c r="J62" t="s">
        <v>271</v>
      </c>
      <c r="K62" t="s">
        <v>409</v>
      </c>
      <c r="L62" t="s">
        <v>639</v>
      </c>
      <c r="M62" t="s">
        <v>669</v>
      </c>
    </row>
    <row r="63" spans="1:13" x14ac:dyDescent="0.35">
      <c r="A63">
        <v>2018</v>
      </c>
      <c r="B63" t="s">
        <v>131</v>
      </c>
      <c r="C63" t="s">
        <v>132</v>
      </c>
      <c r="D63" t="s">
        <v>55</v>
      </c>
      <c r="E63" t="s">
        <v>133</v>
      </c>
      <c r="F63">
        <f t="shared" si="0"/>
        <v>0</v>
      </c>
      <c r="G63">
        <f t="shared" si="1"/>
        <v>0</v>
      </c>
      <c r="H63">
        <f t="shared" si="2"/>
        <v>1</v>
      </c>
      <c r="I63">
        <f t="shared" si="3"/>
        <v>0</v>
      </c>
      <c r="J63" t="s">
        <v>272</v>
      </c>
      <c r="K63" t="s">
        <v>409</v>
      </c>
      <c r="L63" t="s">
        <v>631</v>
      </c>
      <c r="M63" t="s">
        <v>669</v>
      </c>
    </row>
    <row r="64" spans="1:13" x14ac:dyDescent="0.35">
      <c r="A64">
        <v>2017</v>
      </c>
      <c r="B64" t="s">
        <v>131</v>
      </c>
      <c r="C64" t="s">
        <v>132</v>
      </c>
      <c r="D64" t="s">
        <v>55</v>
      </c>
      <c r="E64" t="s">
        <v>59</v>
      </c>
      <c r="F64">
        <f t="shared" si="0"/>
        <v>0</v>
      </c>
      <c r="G64">
        <f t="shared" si="1"/>
        <v>1</v>
      </c>
      <c r="H64">
        <f t="shared" si="2"/>
        <v>0</v>
      </c>
      <c r="I64">
        <f t="shared" si="3"/>
        <v>0</v>
      </c>
      <c r="J64" t="s">
        <v>272</v>
      </c>
      <c r="K64" t="s">
        <v>409</v>
      </c>
      <c r="L64" t="s">
        <v>631</v>
      </c>
      <c r="M64" t="s">
        <v>671</v>
      </c>
    </row>
    <row r="65" spans="1:13" x14ac:dyDescent="0.35">
      <c r="A65">
        <v>2016</v>
      </c>
      <c r="B65" t="s">
        <v>131</v>
      </c>
      <c r="C65" t="s">
        <v>132</v>
      </c>
      <c r="D65" t="s">
        <v>136</v>
      </c>
      <c r="E65" t="s">
        <v>59</v>
      </c>
      <c r="F65">
        <f t="shared" si="0"/>
        <v>0</v>
      </c>
      <c r="G65">
        <f t="shared" si="1"/>
        <v>0</v>
      </c>
      <c r="H65">
        <f t="shared" si="2"/>
        <v>0</v>
      </c>
      <c r="I65">
        <f t="shared" si="3"/>
        <v>0</v>
      </c>
      <c r="J65" t="s">
        <v>272</v>
      </c>
      <c r="K65" t="s">
        <v>409</v>
      </c>
      <c r="L65" t="s">
        <v>623</v>
      </c>
      <c r="M65" t="s">
        <v>671</v>
      </c>
    </row>
    <row r="66" spans="1:13" x14ac:dyDescent="0.35">
      <c r="A66">
        <v>2015</v>
      </c>
      <c r="B66" t="s">
        <v>131</v>
      </c>
      <c r="C66" t="s">
        <v>132</v>
      </c>
      <c r="D66" t="s">
        <v>136</v>
      </c>
      <c r="E66" t="s">
        <v>59</v>
      </c>
      <c r="F66">
        <f t="shared" ref="F66:F129" si="4">IF(C66=C67,0,1)</f>
        <v>0</v>
      </c>
      <c r="G66">
        <f t="shared" ref="G66:G129" si="5">IF(D66=D67,0,1)</f>
        <v>1</v>
      </c>
      <c r="H66">
        <f t="shared" ref="H66:H129" si="6">IF(E66=E67,0,1)</f>
        <v>0</v>
      </c>
      <c r="I66">
        <f t="shared" ref="I66:I129" si="7">IF(J66=J67,0,1)</f>
        <v>0</v>
      </c>
      <c r="J66" t="s">
        <v>272</v>
      </c>
      <c r="K66" t="s">
        <v>409</v>
      </c>
      <c r="L66" t="s">
        <v>623</v>
      </c>
      <c r="M66" t="s">
        <v>671</v>
      </c>
    </row>
    <row r="67" spans="1:13" x14ac:dyDescent="0.35">
      <c r="A67">
        <v>2014</v>
      </c>
      <c r="B67" t="s">
        <v>131</v>
      </c>
      <c r="C67" t="s">
        <v>132</v>
      </c>
      <c r="D67" t="s">
        <v>95</v>
      </c>
      <c r="E67" t="s">
        <v>59</v>
      </c>
      <c r="F67">
        <f t="shared" si="4"/>
        <v>0</v>
      </c>
      <c r="G67">
        <f t="shared" si="5"/>
        <v>1</v>
      </c>
      <c r="H67">
        <f t="shared" si="6"/>
        <v>0</v>
      </c>
      <c r="I67">
        <f t="shared" si="7"/>
        <v>0</v>
      </c>
      <c r="J67" t="s">
        <v>272</v>
      </c>
      <c r="K67" t="s">
        <v>409</v>
      </c>
      <c r="L67" t="s">
        <v>664</v>
      </c>
      <c r="M67" t="s">
        <v>671</v>
      </c>
    </row>
    <row r="68" spans="1:13" x14ac:dyDescent="0.35">
      <c r="A68">
        <v>2013</v>
      </c>
      <c r="B68" t="s">
        <v>131</v>
      </c>
      <c r="C68" t="s">
        <v>132</v>
      </c>
      <c r="D68" t="s">
        <v>79</v>
      </c>
      <c r="E68" t="s">
        <v>59</v>
      </c>
      <c r="F68">
        <f t="shared" si="4"/>
        <v>0</v>
      </c>
      <c r="G68">
        <f t="shared" si="5"/>
        <v>1</v>
      </c>
      <c r="H68">
        <f t="shared" si="6"/>
        <v>0</v>
      </c>
      <c r="I68">
        <f t="shared" si="7"/>
        <v>0</v>
      </c>
      <c r="J68" t="s">
        <v>272</v>
      </c>
      <c r="K68" t="s">
        <v>409</v>
      </c>
      <c r="L68" t="s">
        <v>623</v>
      </c>
      <c r="M68" t="s">
        <v>671</v>
      </c>
    </row>
    <row r="69" spans="1:13" x14ac:dyDescent="0.35">
      <c r="A69">
        <v>2012</v>
      </c>
      <c r="B69" t="s">
        <v>131</v>
      </c>
      <c r="C69" t="s">
        <v>132</v>
      </c>
      <c r="D69" t="s">
        <v>135</v>
      </c>
      <c r="E69" t="s">
        <v>59</v>
      </c>
      <c r="F69">
        <f t="shared" si="4"/>
        <v>0</v>
      </c>
      <c r="G69">
        <f t="shared" si="5"/>
        <v>0</v>
      </c>
      <c r="H69">
        <f t="shared" si="6"/>
        <v>1</v>
      </c>
      <c r="I69">
        <f t="shared" si="7"/>
        <v>0</v>
      </c>
      <c r="J69" t="s">
        <v>272</v>
      </c>
      <c r="K69" t="s">
        <v>409</v>
      </c>
      <c r="L69" t="s">
        <v>626</v>
      </c>
      <c r="M69" t="s">
        <v>671</v>
      </c>
    </row>
    <row r="70" spans="1:13" x14ac:dyDescent="0.35">
      <c r="A70">
        <v>2011</v>
      </c>
      <c r="B70" t="s">
        <v>131</v>
      </c>
      <c r="C70" t="s">
        <v>132</v>
      </c>
      <c r="D70" t="s">
        <v>135</v>
      </c>
      <c r="E70" t="s">
        <v>75</v>
      </c>
      <c r="F70">
        <f t="shared" si="4"/>
        <v>0</v>
      </c>
      <c r="G70">
        <f t="shared" si="5"/>
        <v>0</v>
      </c>
      <c r="H70">
        <f t="shared" si="6"/>
        <v>1</v>
      </c>
      <c r="I70">
        <f t="shared" si="7"/>
        <v>0</v>
      </c>
      <c r="J70" t="s">
        <v>272</v>
      </c>
      <c r="K70" t="s">
        <v>409</v>
      </c>
      <c r="L70" t="s">
        <v>626</v>
      </c>
      <c r="M70" t="s">
        <v>670</v>
      </c>
    </row>
    <row r="71" spans="1:13" hidden="1" x14ac:dyDescent="0.35">
      <c r="A71">
        <v>2010</v>
      </c>
      <c r="B71" t="s">
        <v>131</v>
      </c>
      <c r="C71" t="s">
        <v>132</v>
      </c>
      <c r="D71" t="s">
        <v>135</v>
      </c>
      <c r="E71" t="s">
        <v>134</v>
      </c>
      <c r="F71">
        <f t="shared" si="4"/>
        <v>0</v>
      </c>
      <c r="G71">
        <f t="shared" si="5"/>
        <v>0</v>
      </c>
      <c r="H71">
        <f t="shared" si="6"/>
        <v>0</v>
      </c>
      <c r="I71">
        <f t="shared" si="7"/>
        <v>0</v>
      </c>
      <c r="J71" t="s">
        <v>272</v>
      </c>
      <c r="K71" t="s">
        <v>409</v>
      </c>
      <c r="L71" t="s">
        <v>626</v>
      </c>
      <c r="M71" t="s">
        <v>670</v>
      </c>
    </row>
    <row r="72" spans="1:13" hidden="1" x14ac:dyDescent="0.35">
      <c r="A72">
        <v>2009</v>
      </c>
      <c r="B72" t="s">
        <v>131</v>
      </c>
      <c r="C72" t="s">
        <v>132</v>
      </c>
      <c r="D72" t="s">
        <v>135</v>
      </c>
      <c r="E72" t="s">
        <v>134</v>
      </c>
      <c r="F72">
        <f t="shared" si="4"/>
        <v>0</v>
      </c>
      <c r="G72">
        <f t="shared" si="5"/>
        <v>0</v>
      </c>
      <c r="H72">
        <f t="shared" si="6"/>
        <v>1</v>
      </c>
      <c r="I72">
        <f t="shared" si="7"/>
        <v>0</v>
      </c>
      <c r="J72" t="s">
        <v>272</v>
      </c>
      <c r="K72" t="s">
        <v>409</v>
      </c>
      <c r="L72" t="s">
        <v>632</v>
      </c>
    </row>
    <row r="73" spans="1:13" hidden="1" x14ac:dyDescent="0.35">
      <c r="A73">
        <v>2008</v>
      </c>
      <c r="B73" t="s">
        <v>131</v>
      </c>
      <c r="C73" t="s">
        <v>132</v>
      </c>
      <c r="D73" t="s">
        <v>135</v>
      </c>
      <c r="E73" t="s">
        <v>12</v>
      </c>
      <c r="F73">
        <f t="shared" si="4"/>
        <v>1</v>
      </c>
      <c r="G73">
        <f t="shared" si="5"/>
        <v>1</v>
      </c>
      <c r="H73">
        <f t="shared" si="6"/>
        <v>0</v>
      </c>
      <c r="I73">
        <f t="shared" si="7"/>
        <v>0</v>
      </c>
      <c r="J73" t="s">
        <v>272</v>
      </c>
      <c r="K73" t="s">
        <v>409</v>
      </c>
      <c r="L73" t="s">
        <v>632</v>
      </c>
    </row>
    <row r="74" spans="1:13" hidden="1" x14ac:dyDescent="0.35">
      <c r="A74">
        <v>2007</v>
      </c>
      <c r="B74" t="s">
        <v>131</v>
      </c>
      <c r="C74" t="s">
        <v>403</v>
      </c>
      <c r="D74" t="s">
        <v>404</v>
      </c>
      <c r="E74" t="s">
        <v>12</v>
      </c>
      <c r="F74">
        <f t="shared" si="4"/>
        <v>0</v>
      </c>
      <c r="G74">
        <f t="shared" si="5"/>
        <v>1</v>
      </c>
      <c r="H74">
        <f t="shared" si="6"/>
        <v>0</v>
      </c>
      <c r="I74">
        <f t="shared" si="7"/>
        <v>0</v>
      </c>
      <c r="J74" t="s">
        <v>272</v>
      </c>
      <c r="K74" t="s">
        <v>409</v>
      </c>
    </row>
    <row r="75" spans="1:13" hidden="1" x14ac:dyDescent="0.35">
      <c r="A75">
        <v>2006</v>
      </c>
      <c r="B75" t="s">
        <v>131</v>
      </c>
      <c r="C75" t="s">
        <v>403</v>
      </c>
      <c r="D75" t="s">
        <v>405</v>
      </c>
      <c r="E75" t="s">
        <v>12</v>
      </c>
      <c r="F75">
        <f t="shared" si="4"/>
        <v>0</v>
      </c>
      <c r="G75">
        <f t="shared" si="5"/>
        <v>0</v>
      </c>
      <c r="H75">
        <f t="shared" si="6"/>
        <v>0</v>
      </c>
      <c r="I75">
        <f t="shared" si="7"/>
        <v>0</v>
      </c>
      <c r="J75" t="s">
        <v>272</v>
      </c>
      <c r="K75" t="s">
        <v>409</v>
      </c>
      <c r="L75" t="s">
        <v>633</v>
      </c>
    </row>
    <row r="76" spans="1:13" hidden="1" x14ac:dyDescent="0.35">
      <c r="A76">
        <v>2005</v>
      </c>
      <c r="B76" t="s">
        <v>131</v>
      </c>
      <c r="C76" t="s">
        <v>403</v>
      </c>
      <c r="D76" t="s">
        <v>405</v>
      </c>
      <c r="E76" t="s">
        <v>12</v>
      </c>
      <c r="F76">
        <f t="shared" si="4"/>
        <v>0</v>
      </c>
      <c r="G76">
        <f t="shared" si="5"/>
        <v>1</v>
      </c>
      <c r="H76">
        <f t="shared" si="6"/>
        <v>1</v>
      </c>
      <c r="I76">
        <f t="shared" si="7"/>
        <v>0</v>
      </c>
      <c r="J76" t="s">
        <v>272</v>
      </c>
      <c r="K76" t="s">
        <v>409</v>
      </c>
      <c r="L76" t="s">
        <v>633</v>
      </c>
    </row>
    <row r="77" spans="1:13" hidden="1" x14ac:dyDescent="0.35">
      <c r="A77">
        <v>2004</v>
      </c>
      <c r="B77" t="s">
        <v>131</v>
      </c>
      <c r="C77" t="s">
        <v>403</v>
      </c>
      <c r="D77" t="s">
        <v>407</v>
      </c>
      <c r="E77" t="s">
        <v>49</v>
      </c>
      <c r="F77">
        <f t="shared" si="4"/>
        <v>0</v>
      </c>
      <c r="G77">
        <f t="shared" si="5"/>
        <v>0</v>
      </c>
      <c r="H77">
        <f t="shared" si="6"/>
        <v>0</v>
      </c>
      <c r="I77">
        <f t="shared" si="7"/>
        <v>0</v>
      </c>
      <c r="J77" t="s">
        <v>272</v>
      </c>
      <c r="K77" t="s">
        <v>409</v>
      </c>
      <c r="L77" t="s">
        <v>632</v>
      </c>
    </row>
    <row r="78" spans="1:13" hidden="1" x14ac:dyDescent="0.35">
      <c r="A78">
        <v>2003</v>
      </c>
      <c r="B78" t="s">
        <v>131</v>
      </c>
      <c r="C78" t="s">
        <v>403</v>
      </c>
      <c r="D78" t="s">
        <v>407</v>
      </c>
      <c r="E78" t="s">
        <v>49</v>
      </c>
      <c r="F78">
        <f t="shared" si="4"/>
        <v>0</v>
      </c>
      <c r="G78">
        <f t="shared" si="5"/>
        <v>0</v>
      </c>
      <c r="H78">
        <f t="shared" si="6"/>
        <v>0</v>
      </c>
      <c r="I78">
        <f t="shared" si="7"/>
        <v>0</v>
      </c>
      <c r="J78" t="s">
        <v>272</v>
      </c>
      <c r="K78" t="s">
        <v>408</v>
      </c>
      <c r="L78" t="s">
        <v>632</v>
      </c>
    </row>
    <row r="79" spans="1:13" hidden="1" x14ac:dyDescent="0.35">
      <c r="A79">
        <v>2002</v>
      </c>
      <c r="B79" t="s">
        <v>131</v>
      </c>
      <c r="C79" t="s">
        <v>403</v>
      </c>
      <c r="D79" t="s">
        <v>407</v>
      </c>
      <c r="E79" t="s">
        <v>49</v>
      </c>
      <c r="F79">
        <f t="shared" si="4"/>
        <v>0</v>
      </c>
      <c r="G79">
        <f t="shared" si="5"/>
        <v>0</v>
      </c>
      <c r="H79">
        <f t="shared" si="6"/>
        <v>1</v>
      </c>
      <c r="I79">
        <f t="shared" si="7"/>
        <v>0</v>
      </c>
      <c r="J79" t="s">
        <v>272</v>
      </c>
      <c r="K79" t="s">
        <v>408</v>
      </c>
      <c r="L79" t="s">
        <v>632</v>
      </c>
    </row>
    <row r="80" spans="1:13" hidden="1" x14ac:dyDescent="0.35">
      <c r="A80">
        <v>2001</v>
      </c>
      <c r="B80" t="s">
        <v>131</v>
      </c>
      <c r="C80" t="s">
        <v>403</v>
      </c>
      <c r="D80" t="s">
        <v>407</v>
      </c>
      <c r="E80" t="s">
        <v>141</v>
      </c>
      <c r="F80">
        <f t="shared" si="4"/>
        <v>0</v>
      </c>
      <c r="G80">
        <f t="shared" si="5"/>
        <v>0</v>
      </c>
      <c r="H80">
        <f t="shared" si="6"/>
        <v>0</v>
      </c>
      <c r="I80">
        <f t="shared" si="7"/>
        <v>0</v>
      </c>
      <c r="J80" t="s">
        <v>272</v>
      </c>
      <c r="K80" t="s">
        <v>408</v>
      </c>
      <c r="L80" t="s">
        <v>632</v>
      </c>
    </row>
    <row r="81" spans="1:13" hidden="1" x14ac:dyDescent="0.35">
      <c r="A81">
        <v>2000</v>
      </c>
      <c r="B81" t="s">
        <v>131</v>
      </c>
      <c r="C81" t="s">
        <v>403</v>
      </c>
      <c r="D81" t="s">
        <v>407</v>
      </c>
      <c r="E81" t="s">
        <v>141</v>
      </c>
      <c r="F81">
        <f t="shared" si="4"/>
        <v>0</v>
      </c>
      <c r="G81">
        <f t="shared" si="5"/>
        <v>0</v>
      </c>
      <c r="H81">
        <f t="shared" si="6"/>
        <v>0</v>
      </c>
      <c r="I81">
        <f t="shared" si="7"/>
        <v>0</v>
      </c>
      <c r="J81" t="s">
        <v>272</v>
      </c>
      <c r="K81" t="s">
        <v>408</v>
      </c>
      <c r="L81" t="s">
        <v>632</v>
      </c>
    </row>
    <row r="82" spans="1:13" hidden="1" x14ac:dyDescent="0.35">
      <c r="A82">
        <v>1999</v>
      </c>
      <c r="B82" t="s">
        <v>131</v>
      </c>
      <c r="C82" t="s">
        <v>403</v>
      </c>
      <c r="D82" t="s">
        <v>407</v>
      </c>
      <c r="E82" t="s">
        <v>141</v>
      </c>
      <c r="F82">
        <f t="shared" si="4"/>
        <v>1</v>
      </c>
      <c r="G82">
        <f t="shared" si="5"/>
        <v>1</v>
      </c>
      <c r="H82">
        <f t="shared" si="6"/>
        <v>1</v>
      </c>
      <c r="I82">
        <f t="shared" si="7"/>
        <v>1</v>
      </c>
      <c r="J82" t="s">
        <v>272</v>
      </c>
      <c r="K82" t="s">
        <v>408</v>
      </c>
      <c r="L82" t="s">
        <v>632</v>
      </c>
    </row>
    <row r="83" spans="1:13" x14ac:dyDescent="0.35">
      <c r="A83">
        <v>2025</v>
      </c>
      <c r="B83" t="s">
        <v>8</v>
      </c>
      <c r="C83" t="s">
        <v>6</v>
      </c>
      <c r="D83" t="s">
        <v>248</v>
      </c>
      <c r="E83" t="s">
        <v>6</v>
      </c>
      <c r="F83">
        <f t="shared" si="4"/>
        <v>0</v>
      </c>
      <c r="G83">
        <f t="shared" si="5"/>
        <v>0</v>
      </c>
      <c r="H83">
        <f t="shared" si="6"/>
        <v>0</v>
      </c>
      <c r="I83">
        <f t="shared" si="7"/>
        <v>0</v>
      </c>
      <c r="J83" t="s">
        <v>125</v>
      </c>
      <c r="K83" t="s">
        <v>413</v>
      </c>
      <c r="L83" t="s">
        <v>623</v>
      </c>
      <c r="M83" t="s">
        <v>665</v>
      </c>
    </row>
    <row r="84" spans="1:13" x14ac:dyDescent="0.35">
      <c r="A84">
        <v>2024</v>
      </c>
      <c r="B84" t="s">
        <v>8</v>
      </c>
      <c r="C84" t="s">
        <v>6</v>
      </c>
      <c r="D84" t="s">
        <v>248</v>
      </c>
      <c r="E84" t="s">
        <v>6</v>
      </c>
      <c r="F84">
        <f t="shared" si="4"/>
        <v>0</v>
      </c>
      <c r="G84">
        <f t="shared" si="5"/>
        <v>1</v>
      </c>
      <c r="H84">
        <f t="shared" si="6"/>
        <v>0</v>
      </c>
      <c r="I84">
        <f t="shared" si="7"/>
        <v>0</v>
      </c>
      <c r="J84" t="s">
        <v>125</v>
      </c>
      <c r="K84" t="s">
        <v>413</v>
      </c>
      <c r="L84" t="s">
        <v>623</v>
      </c>
      <c r="M84" t="s">
        <v>665</v>
      </c>
    </row>
    <row r="85" spans="1:13" x14ac:dyDescent="0.35">
      <c r="A85">
        <v>2023</v>
      </c>
      <c r="B85" t="s">
        <v>8</v>
      </c>
      <c r="C85" t="s">
        <v>6</v>
      </c>
      <c r="D85" t="s">
        <v>642</v>
      </c>
      <c r="E85" t="s">
        <v>6</v>
      </c>
      <c r="F85">
        <f t="shared" si="4"/>
        <v>0</v>
      </c>
      <c r="G85">
        <f t="shared" si="5"/>
        <v>0</v>
      </c>
      <c r="H85">
        <f t="shared" si="6"/>
        <v>1</v>
      </c>
      <c r="I85">
        <f t="shared" si="7"/>
        <v>0</v>
      </c>
      <c r="J85" t="s">
        <v>125</v>
      </c>
      <c r="K85" t="s">
        <v>413</v>
      </c>
      <c r="L85" t="s">
        <v>623</v>
      </c>
      <c r="M85" t="s">
        <v>665</v>
      </c>
    </row>
    <row r="86" spans="1:13" x14ac:dyDescent="0.35">
      <c r="A86">
        <v>2022</v>
      </c>
      <c r="B86" t="s">
        <v>8</v>
      </c>
      <c r="C86" t="s">
        <v>6</v>
      </c>
      <c r="D86" t="s">
        <v>642</v>
      </c>
      <c r="E86" t="s">
        <v>10</v>
      </c>
      <c r="F86">
        <f t="shared" si="4"/>
        <v>0</v>
      </c>
      <c r="G86">
        <f t="shared" si="5"/>
        <v>1</v>
      </c>
      <c r="H86">
        <f t="shared" si="6"/>
        <v>0</v>
      </c>
      <c r="I86">
        <f t="shared" si="7"/>
        <v>0</v>
      </c>
      <c r="J86" t="s">
        <v>125</v>
      </c>
      <c r="K86" t="s">
        <v>413</v>
      </c>
      <c r="L86" t="s">
        <v>629</v>
      </c>
      <c r="M86" t="s">
        <v>665</v>
      </c>
    </row>
    <row r="87" spans="1:13" x14ac:dyDescent="0.35">
      <c r="A87">
        <v>2021</v>
      </c>
      <c r="B87" t="s">
        <v>8</v>
      </c>
      <c r="C87" t="s">
        <v>6</v>
      </c>
      <c r="D87" t="s">
        <v>9</v>
      </c>
      <c r="E87" t="s">
        <v>10</v>
      </c>
      <c r="F87">
        <f t="shared" si="4"/>
        <v>0</v>
      </c>
      <c r="G87">
        <f t="shared" si="5"/>
        <v>0</v>
      </c>
      <c r="H87">
        <f t="shared" si="6"/>
        <v>0</v>
      </c>
      <c r="I87">
        <f t="shared" si="7"/>
        <v>0</v>
      </c>
      <c r="J87" t="s">
        <v>125</v>
      </c>
      <c r="K87" t="s">
        <v>413</v>
      </c>
      <c r="L87" t="s">
        <v>629</v>
      </c>
      <c r="M87" t="s">
        <v>665</v>
      </c>
    </row>
    <row r="88" spans="1:13" x14ac:dyDescent="0.35">
      <c r="A88">
        <v>2020</v>
      </c>
      <c r="B88" t="s">
        <v>8</v>
      </c>
      <c r="C88" t="s">
        <v>6</v>
      </c>
      <c r="D88" t="s">
        <v>9</v>
      </c>
      <c r="E88" t="s">
        <v>10</v>
      </c>
      <c r="F88">
        <f t="shared" si="4"/>
        <v>0</v>
      </c>
      <c r="G88">
        <f t="shared" si="5"/>
        <v>0</v>
      </c>
      <c r="H88">
        <f t="shared" si="6"/>
        <v>0</v>
      </c>
      <c r="I88">
        <f t="shared" si="7"/>
        <v>0</v>
      </c>
      <c r="J88" t="s">
        <v>125</v>
      </c>
      <c r="K88" t="s">
        <v>413</v>
      </c>
      <c r="L88" t="s">
        <v>629</v>
      </c>
      <c r="M88" t="s">
        <v>665</v>
      </c>
    </row>
    <row r="89" spans="1:13" x14ac:dyDescent="0.35">
      <c r="A89">
        <v>2019</v>
      </c>
      <c r="B89" t="s">
        <v>8</v>
      </c>
      <c r="C89" t="s">
        <v>6</v>
      </c>
      <c r="D89" t="s">
        <v>9</v>
      </c>
      <c r="E89" t="s">
        <v>10</v>
      </c>
      <c r="F89">
        <f t="shared" si="4"/>
        <v>0</v>
      </c>
      <c r="G89">
        <f t="shared" si="5"/>
        <v>0</v>
      </c>
      <c r="H89">
        <f t="shared" si="6"/>
        <v>0</v>
      </c>
      <c r="I89">
        <f t="shared" si="7"/>
        <v>0</v>
      </c>
      <c r="J89" t="s">
        <v>125</v>
      </c>
      <c r="K89" t="s">
        <v>413</v>
      </c>
      <c r="L89" t="s">
        <v>629</v>
      </c>
      <c r="M89" t="s">
        <v>665</v>
      </c>
    </row>
    <row r="90" spans="1:13" x14ac:dyDescent="0.35">
      <c r="A90">
        <v>2018</v>
      </c>
      <c r="B90" t="s">
        <v>8</v>
      </c>
      <c r="C90" t="s">
        <v>6</v>
      </c>
      <c r="D90" t="s">
        <v>9</v>
      </c>
      <c r="E90" t="s">
        <v>10</v>
      </c>
      <c r="F90">
        <f t="shared" si="4"/>
        <v>0</v>
      </c>
      <c r="G90">
        <f t="shared" si="5"/>
        <v>1</v>
      </c>
      <c r="H90">
        <f t="shared" si="6"/>
        <v>0</v>
      </c>
      <c r="I90">
        <f t="shared" si="7"/>
        <v>0</v>
      </c>
      <c r="J90" t="s">
        <v>125</v>
      </c>
      <c r="K90" t="s">
        <v>413</v>
      </c>
      <c r="L90" t="s">
        <v>629</v>
      </c>
      <c r="M90" t="s">
        <v>665</v>
      </c>
    </row>
    <row r="91" spans="1:13" x14ac:dyDescent="0.35">
      <c r="A91">
        <v>2017</v>
      </c>
      <c r="B91" t="s">
        <v>8</v>
      </c>
      <c r="C91" t="s">
        <v>6</v>
      </c>
      <c r="D91" t="s">
        <v>11</v>
      </c>
      <c r="E91" t="s">
        <v>10</v>
      </c>
      <c r="F91">
        <f t="shared" si="4"/>
        <v>1</v>
      </c>
      <c r="G91">
        <f t="shared" si="5"/>
        <v>1</v>
      </c>
      <c r="H91">
        <f t="shared" si="6"/>
        <v>1</v>
      </c>
      <c r="I91">
        <f t="shared" si="7"/>
        <v>1</v>
      </c>
      <c r="J91" t="s">
        <v>125</v>
      </c>
      <c r="K91" t="s">
        <v>413</v>
      </c>
      <c r="L91" t="s">
        <v>626</v>
      </c>
      <c r="M91" t="s">
        <v>665</v>
      </c>
    </row>
    <row r="92" spans="1:13" x14ac:dyDescent="0.35">
      <c r="A92">
        <v>2016</v>
      </c>
      <c r="B92" t="s">
        <v>8</v>
      </c>
      <c r="C92" t="s">
        <v>12</v>
      </c>
      <c r="D92" t="s">
        <v>13</v>
      </c>
      <c r="E92" t="s">
        <v>14</v>
      </c>
      <c r="F92">
        <f t="shared" si="4"/>
        <v>0</v>
      </c>
      <c r="G92">
        <f t="shared" si="5"/>
        <v>0</v>
      </c>
      <c r="H92">
        <f t="shared" si="6"/>
        <v>0</v>
      </c>
      <c r="I92">
        <f t="shared" si="7"/>
        <v>0</v>
      </c>
      <c r="J92" t="s">
        <v>127</v>
      </c>
      <c r="K92" t="s">
        <v>413</v>
      </c>
      <c r="L92" t="s">
        <v>639</v>
      </c>
      <c r="M92" t="s">
        <v>670</v>
      </c>
    </row>
    <row r="93" spans="1:13" x14ac:dyDescent="0.35">
      <c r="A93">
        <v>2015</v>
      </c>
      <c r="B93" t="s">
        <v>8</v>
      </c>
      <c r="C93" t="s">
        <v>12</v>
      </c>
      <c r="D93" t="s">
        <v>13</v>
      </c>
      <c r="E93" t="s">
        <v>14</v>
      </c>
      <c r="F93">
        <f t="shared" si="4"/>
        <v>1</v>
      </c>
      <c r="G93">
        <f t="shared" si="5"/>
        <v>1</v>
      </c>
      <c r="H93">
        <f t="shared" si="6"/>
        <v>1</v>
      </c>
      <c r="I93">
        <f t="shared" si="7"/>
        <v>0</v>
      </c>
      <c r="J93" t="s">
        <v>127</v>
      </c>
      <c r="K93" t="s">
        <v>413</v>
      </c>
      <c r="L93" t="s">
        <v>639</v>
      </c>
      <c r="M93" t="s">
        <v>670</v>
      </c>
    </row>
    <row r="94" spans="1:13" x14ac:dyDescent="0.35">
      <c r="A94">
        <v>2014</v>
      </c>
      <c r="B94" t="s">
        <v>8</v>
      </c>
      <c r="C94" t="s">
        <v>15</v>
      </c>
      <c r="D94" t="s">
        <v>16</v>
      </c>
      <c r="E94" t="s">
        <v>472</v>
      </c>
      <c r="F94">
        <f t="shared" si="4"/>
        <v>0</v>
      </c>
      <c r="G94">
        <f t="shared" si="5"/>
        <v>0</v>
      </c>
      <c r="H94">
        <f t="shared" si="6"/>
        <v>1</v>
      </c>
      <c r="I94">
        <f t="shared" si="7"/>
        <v>0</v>
      </c>
      <c r="J94" t="s">
        <v>127</v>
      </c>
      <c r="K94" t="s">
        <v>413</v>
      </c>
      <c r="L94" t="s">
        <v>626</v>
      </c>
      <c r="M94" t="s">
        <v>669</v>
      </c>
    </row>
    <row r="95" spans="1:13" x14ac:dyDescent="0.35">
      <c r="A95">
        <v>2013</v>
      </c>
      <c r="B95" t="s">
        <v>8</v>
      </c>
      <c r="C95" t="s">
        <v>15</v>
      </c>
      <c r="D95" t="s">
        <v>16</v>
      </c>
      <c r="E95" t="s">
        <v>17</v>
      </c>
      <c r="F95">
        <f t="shared" si="4"/>
        <v>1</v>
      </c>
      <c r="G95">
        <f t="shared" si="5"/>
        <v>1</v>
      </c>
      <c r="H95">
        <f t="shared" si="6"/>
        <v>1</v>
      </c>
      <c r="I95">
        <f t="shared" si="7"/>
        <v>1</v>
      </c>
      <c r="J95" t="s">
        <v>127</v>
      </c>
      <c r="K95" t="s">
        <v>414</v>
      </c>
      <c r="L95" t="s">
        <v>626</v>
      </c>
      <c r="M95" t="s">
        <v>670</v>
      </c>
    </row>
    <row r="96" spans="1:13" x14ac:dyDescent="0.35">
      <c r="A96">
        <v>2012</v>
      </c>
      <c r="B96" t="s">
        <v>8</v>
      </c>
      <c r="C96" t="s">
        <v>18</v>
      </c>
      <c r="D96" t="s">
        <v>19</v>
      </c>
      <c r="E96" t="s">
        <v>20</v>
      </c>
      <c r="F96">
        <f t="shared" si="4"/>
        <v>0</v>
      </c>
      <c r="G96">
        <f t="shared" si="5"/>
        <v>0</v>
      </c>
      <c r="H96">
        <f t="shared" si="6"/>
        <v>1</v>
      </c>
      <c r="I96">
        <f t="shared" si="7"/>
        <v>0</v>
      </c>
      <c r="J96" t="s">
        <v>126</v>
      </c>
      <c r="K96" t="s">
        <v>414</v>
      </c>
      <c r="L96" t="s">
        <v>629</v>
      </c>
      <c r="M96" t="s">
        <v>670</v>
      </c>
    </row>
    <row r="97" spans="1:13" x14ac:dyDescent="0.35">
      <c r="A97">
        <v>2011</v>
      </c>
      <c r="B97" t="s">
        <v>8</v>
      </c>
      <c r="C97" t="s">
        <v>18</v>
      </c>
      <c r="D97" t="s">
        <v>19</v>
      </c>
      <c r="E97" t="s">
        <v>21</v>
      </c>
      <c r="F97">
        <f t="shared" si="4"/>
        <v>0</v>
      </c>
      <c r="G97">
        <f t="shared" si="5"/>
        <v>0</v>
      </c>
      <c r="H97">
        <f t="shared" si="6"/>
        <v>0</v>
      </c>
      <c r="I97">
        <f t="shared" si="7"/>
        <v>1</v>
      </c>
      <c r="J97" t="s">
        <v>126</v>
      </c>
      <c r="K97" t="s">
        <v>414</v>
      </c>
      <c r="L97" t="s">
        <v>629</v>
      </c>
      <c r="M97" t="s">
        <v>674</v>
      </c>
    </row>
    <row r="98" spans="1:13" hidden="1" x14ac:dyDescent="0.35">
      <c r="A98">
        <v>2010</v>
      </c>
      <c r="B98" t="s">
        <v>8</v>
      </c>
      <c r="C98" t="s">
        <v>18</v>
      </c>
      <c r="D98" t="s">
        <v>19</v>
      </c>
      <c r="E98" t="s">
        <v>21</v>
      </c>
      <c r="F98">
        <f t="shared" si="4"/>
        <v>1</v>
      </c>
      <c r="G98">
        <f t="shared" si="5"/>
        <v>1</v>
      </c>
      <c r="H98">
        <f t="shared" si="6"/>
        <v>1</v>
      </c>
      <c r="I98">
        <f t="shared" si="7"/>
        <v>0</v>
      </c>
      <c r="J98" t="s">
        <v>323</v>
      </c>
      <c r="K98" t="s">
        <v>414</v>
      </c>
      <c r="L98" t="s">
        <v>629</v>
      </c>
      <c r="M98" t="s">
        <v>674</v>
      </c>
    </row>
    <row r="99" spans="1:13" hidden="1" x14ac:dyDescent="0.35">
      <c r="A99">
        <v>2009</v>
      </c>
      <c r="B99" t="s">
        <v>8</v>
      </c>
      <c r="C99" t="s">
        <v>114</v>
      </c>
      <c r="D99" t="s">
        <v>340</v>
      </c>
      <c r="E99" t="s">
        <v>209</v>
      </c>
      <c r="F99">
        <f t="shared" si="4"/>
        <v>0</v>
      </c>
      <c r="G99">
        <f t="shared" si="5"/>
        <v>1</v>
      </c>
      <c r="H99">
        <f t="shared" si="6"/>
        <v>0</v>
      </c>
      <c r="I99">
        <f t="shared" si="7"/>
        <v>0</v>
      </c>
      <c r="J99" t="s">
        <v>323</v>
      </c>
      <c r="K99" t="s">
        <v>414</v>
      </c>
      <c r="L99" t="s">
        <v>624</v>
      </c>
    </row>
    <row r="100" spans="1:13" hidden="1" x14ac:dyDescent="0.35">
      <c r="A100">
        <v>2008</v>
      </c>
      <c r="B100" t="s">
        <v>8</v>
      </c>
      <c r="C100" t="s">
        <v>114</v>
      </c>
      <c r="D100" t="s">
        <v>415</v>
      </c>
      <c r="E100" t="s">
        <v>209</v>
      </c>
      <c r="F100">
        <f t="shared" si="4"/>
        <v>0</v>
      </c>
      <c r="G100">
        <f t="shared" si="5"/>
        <v>1</v>
      </c>
      <c r="H100">
        <f t="shared" si="6"/>
        <v>0</v>
      </c>
      <c r="I100">
        <f t="shared" si="7"/>
        <v>1</v>
      </c>
      <c r="J100" t="s">
        <v>323</v>
      </c>
      <c r="K100" t="s">
        <v>414</v>
      </c>
    </row>
    <row r="101" spans="1:13" hidden="1" x14ac:dyDescent="0.35">
      <c r="A101">
        <v>2007</v>
      </c>
      <c r="B101" t="s">
        <v>8</v>
      </c>
      <c r="C101" t="s">
        <v>114</v>
      </c>
      <c r="D101" t="s">
        <v>416</v>
      </c>
      <c r="E101" t="s">
        <v>209</v>
      </c>
      <c r="F101">
        <f t="shared" si="4"/>
        <v>0</v>
      </c>
      <c r="G101">
        <f t="shared" si="5"/>
        <v>0</v>
      </c>
      <c r="H101">
        <f t="shared" si="6"/>
        <v>0</v>
      </c>
      <c r="I101">
        <f t="shared" si="7"/>
        <v>0</v>
      </c>
      <c r="J101" t="s">
        <v>417</v>
      </c>
      <c r="K101" t="s">
        <v>414</v>
      </c>
    </row>
    <row r="102" spans="1:13" hidden="1" x14ac:dyDescent="0.35">
      <c r="A102">
        <v>2006</v>
      </c>
      <c r="B102" t="s">
        <v>8</v>
      </c>
      <c r="C102" t="s">
        <v>114</v>
      </c>
      <c r="D102" t="s">
        <v>416</v>
      </c>
      <c r="E102" t="s">
        <v>209</v>
      </c>
      <c r="F102">
        <f t="shared" si="4"/>
        <v>1</v>
      </c>
      <c r="G102">
        <f t="shared" si="5"/>
        <v>1</v>
      </c>
      <c r="H102">
        <f t="shared" si="6"/>
        <v>1</v>
      </c>
      <c r="I102">
        <f t="shared" si="7"/>
        <v>1</v>
      </c>
      <c r="J102" t="s">
        <v>417</v>
      </c>
      <c r="K102" t="s">
        <v>414</v>
      </c>
    </row>
    <row r="103" spans="1:13" hidden="1" x14ac:dyDescent="0.35">
      <c r="A103">
        <v>2005</v>
      </c>
      <c r="B103" t="s">
        <v>8</v>
      </c>
      <c r="C103" t="s">
        <v>61</v>
      </c>
      <c r="D103" t="s">
        <v>418</v>
      </c>
      <c r="E103" t="s">
        <v>68</v>
      </c>
      <c r="F103">
        <f t="shared" si="4"/>
        <v>0</v>
      </c>
      <c r="G103">
        <f t="shared" si="5"/>
        <v>0</v>
      </c>
      <c r="H103">
        <f t="shared" si="6"/>
        <v>0</v>
      </c>
      <c r="I103">
        <f t="shared" si="7"/>
        <v>0</v>
      </c>
      <c r="J103" t="s">
        <v>419</v>
      </c>
      <c r="K103" t="s">
        <v>414</v>
      </c>
    </row>
    <row r="104" spans="1:13" hidden="1" x14ac:dyDescent="0.35">
      <c r="A104">
        <v>2004</v>
      </c>
      <c r="B104" t="s">
        <v>8</v>
      </c>
      <c r="C104" t="s">
        <v>61</v>
      </c>
      <c r="D104" t="s">
        <v>418</v>
      </c>
      <c r="E104" t="s">
        <v>68</v>
      </c>
      <c r="F104">
        <f t="shared" si="4"/>
        <v>1</v>
      </c>
      <c r="G104">
        <f t="shared" si="5"/>
        <v>1</v>
      </c>
      <c r="H104">
        <f t="shared" si="6"/>
        <v>0</v>
      </c>
      <c r="I104">
        <f t="shared" si="7"/>
        <v>0</v>
      </c>
      <c r="J104" t="s">
        <v>419</v>
      </c>
      <c r="K104" t="s">
        <v>414</v>
      </c>
    </row>
    <row r="105" spans="1:13" hidden="1" x14ac:dyDescent="0.35">
      <c r="A105">
        <v>2003</v>
      </c>
      <c r="B105" t="s">
        <v>8</v>
      </c>
      <c r="C105" t="s">
        <v>50</v>
      </c>
      <c r="D105" t="s">
        <v>208</v>
      </c>
      <c r="E105" t="s">
        <v>68</v>
      </c>
      <c r="F105">
        <f t="shared" si="4"/>
        <v>0</v>
      </c>
      <c r="G105">
        <f t="shared" si="5"/>
        <v>0</v>
      </c>
      <c r="H105">
        <f t="shared" si="6"/>
        <v>0</v>
      </c>
      <c r="I105">
        <f t="shared" si="7"/>
        <v>0</v>
      </c>
      <c r="J105" t="s">
        <v>419</v>
      </c>
      <c r="K105" t="s">
        <v>414</v>
      </c>
      <c r="L105" t="s">
        <v>207</v>
      </c>
    </row>
    <row r="106" spans="1:13" hidden="1" x14ac:dyDescent="0.35">
      <c r="A106">
        <v>2002</v>
      </c>
      <c r="B106" t="s">
        <v>8</v>
      </c>
      <c r="C106" t="s">
        <v>50</v>
      </c>
      <c r="D106" t="s">
        <v>208</v>
      </c>
      <c r="E106" t="s">
        <v>68</v>
      </c>
      <c r="F106">
        <f t="shared" si="4"/>
        <v>0</v>
      </c>
      <c r="G106">
        <f t="shared" si="5"/>
        <v>1</v>
      </c>
      <c r="H106">
        <f t="shared" si="6"/>
        <v>0</v>
      </c>
      <c r="I106">
        <f t="shared" si="7"/>
        <v>0</v>
      </c>
      <c r="J106" t="s">
        <v>419</v>
      </c>
      <c r="K106" t="s">
        <v>414</v>
      </c>
      <c r="L106" t="s">
        <v>207</v>
      </c>
    </row>
    <row r="107" spans="1:13" hidden="1" x14ac:dyDescent="0.35">
      <c r="A107">
        <v>2001</v>
      </c>
      <c r="B107" t="s">
        <v>8</v>
      </c>
      <c r="C107" t="s">
        <v>50</v>
      </c>
      <c r="D107" t="s">
        <v>420</v>
      </c>
      <c r="E107" t="s">
        <v>68</v>
      </c>
      <c r="F107">
        <f t="shared" si="4"/>
        <v>1</v>
      </c>
      <c r="G107">
        <f t="shared" si="5"/>
        <v>1</v>
      </c>
      <c r="H107">
        <f t="shared" si="6"/>
        <v>1</v>
      </c>
      <c r="I107">
        <f t="shared" si="7"/>
        <v>1</v>
      </c>
      <c r="J107" t="s">
        <v>419</v>
      </c>
      <c r="K107" t="s">
        <v>414</v>
      </c>
    </row>
    <row r="108" spans="1:13" hidden="1" x14ac:dyDescent="0.35">
      <c r="A108">
        <v>2000</v>
      </c>
      <c r="B108" t="s">
        <v>8</v>
      </c>
      <c r="C108" t="s">
        <v>96</v>
      </c>
      <c r="D108" t="s">
        <v>421</v>
      </c>
      <c r="E108" t="s">
        <v>422</v>
      </c>
      <c r="F108">
        <f t="shared" si="4"/>
        <v>0</v>
      </c>
      <c r="G108">
        <f t="shared" si="5"/>
        <v>0</v>
      </c>
      <c r="H108">
        <f t="shared" si="6"/>
        <v>0</v>
      </c>
      <c r="I108">
        <f t="shared" si="7"/>
        <v>0</v>
      </c>
      <c r="J108" t="s">
        <v>423</v>
      </c>
      <c r="K108" t="s">
        <v>414</v>
      </c>
      <c r="L108" t="s">
        <v>632</v>
      </c>
    </row>
    <row r="109" spans="1:13" hidden="1" x14ac:dyDescent="0.35">
      <c r="A109">
        <v>1999</v>
      </c>
      <c r="B109" t="s">
        <v>8</v>
      </c>
      <c r="C109" t="s">
        <v>96</v>
      </c>
      <c r="D109" t="s">
        <v>421</v>
      </c>
      <c r="E109" t="s">
        <v>422</v>
      </c>
      <c r="F109">
        <f t="shared" si="4"/>
        <v>1</v>
      </c>
      <c r="G109">
        <f t="shared" si="5"/>
        <v>1</v>
      </c>
      <c r="H109">
        <f t="shared" si="6"/>
        <v>1</v>
      </c>
      <c r="I109">
        <f t="shared" si="7"/>
        <v>1</v>
      </c>
      <c r="J109" t="s">
        <v>423</v>
      </c>
      <c r="K109" t="s">
        <v>414</v>
      </c>
      <c r="L109" t="s">
        <v>632</v>
      </c>
    </row>
    <row r="110" spans="1:13" x14ac:dyDescent="0.35">
      <c r="A110">
        <v>2025</v>
      </c>
      <c r="B110" t="s">
        <v>189</v>
      </c>
      <c r="C110" t="s">
        <v>661</v>
      </c>
      <c r="D110" t="s">
        <v>661</v>
      </c>
      <c r="E110" t="s">
        <v>651</v>
      </c>
      <c r="F110">
        <f t="shared" si="4"/>
        <v>0</v>
      </c>
      <c r="G110">
        <f t="shared" si="5"/>
        <v>0</v>
      </c>
      <c r="H110">
        <f t="shared" si="6"/>
        <v>0</v>
      </c>
      <c r="I110">
        <f t="shared" si="7"/>
        <v>0</v>
      </c>
      <c r="J110" t="s">
        <v>424</v>
      </c>
      <c r="K110" t="s">
        <v>425</v>
      </c>
      <c r="L110" t="s">
        <v>626</v>
      </c>
      <c r="M110" t="s">
        <v>665</v>
      </c>
    </row>
    <row r="111" spans="1:13" x14ac:dyDescent="0.35">
      <c r="A111">
        <v>2024</v>
      </c>
      <c r="B111" t="s">
        <v>189</v>
      </c>
      <c r="C111" t="s">
        <v>661</v>
      </c>
      <c r="D111" t="s">
        <v>661</v>
      </c>
      <c r="E111" t="s">
        <v>651</v>
      </c>
      <c r="F111">
        <f t="shared" si="4"/>
        <v>1</v>
      </c>
      <c r="G111">
        <f t="shared" si="5"/>
        <v>1</v>
      </c>
      <c r="H111">
        <f t="shared" si="6"/>
        <v>0</v>
      </c>
      <c r="I111">
        <f t="shared" si="7"/>
        <v>0</v>
      </c>
      <c r="J111" t="s">
        <v>424</v>
      </c>
      <c r="K111" t="s">
        <v>425</v>
      </c>
      <c r="L111" t="s">
        <v>626</v>
      </c>
      <c r="M111" t="s">
        <v>665</v>
      </c>
    </row>
    <row r="112" spans="1:13" x14ac:dyDescent="0.35">
      <c r="A112">
        <v>2023</v>
      </c>
      <c r="B112" t="s">
        <v>189</v>
      </c>
      <c r="C112" t="s">
        <v>73</v>
      </c>
      <c r="D112" t="s">
        <v>73</v>
      </c>
      <c r="E112" t="s">
        <v>651</v>
      </c>
      <c r="F112">
        <f t="shared" si="4"/>
        <v>1</v>
      </c>
      <c r="G112">
        <f t="shared" si="5"/>
        <v>1</v>
      </c>
      <c r="H112">
        <f t="shared" si="6"/>
        <v>1</v>
      </c>
      <c r="I112">
        <f t="shared" si="7"/>
        <v>0</v>
      </c>
      <c r="J112" t="s">
        <v>424</v>
      </c>
      <c r="K112" t="s">
        <v>425</v>
      </c>
      <c r="L112" t="s">
        <v>631</v>
      </c>
      <c r="M112" t="s">
        <v>665</v>
      </c>
    </row>
    <row r="113" spans="1:13" x14ac:dyDescent="0.35">
      <c r="A113">
        <v>2022</v>
      </c>
      <c r="B113" t="s">
        <v>189</v>
      </c>
      <c r="C113" t="s">
        <v>247</v>
      </c>
      <c r="D113" t="s">
        <v>205</v>
      </c>
      <c r="E113" t="s">
        <v>249</v>
      </c>
      <c r="F113">
        <f t="shared" si="4"/>
        <v>0</v>
      </c>
      <c r="G113">
        <f t="shared" si="5"/>
        <v>1</v>
      </c>
      <c r="H113">
        <f t="shared" si="6"/>
        <v>0</v>
      </c>
      <c r="I113">
        <f t="shared" si="7"/>
        <v>0</v>
      </c>
      <c r="J113" t="s">
        <v>424</v>
      </c>
      <c r="K113" t="s">
        <v>425</v>
      </c>
      <c r="L113" t="s">
        <v>623</v>
      </c>
      <c r="M113" t="s">
        <v>665</v>
      </c>
    </row>
    <row r="114" spans="1:13" x14ac:dyDescent="0.35">
      <c r="A114">
        <v>2021</v>
      </c>
      <c r="B114" t="s">
        <v>189</v>
      </c>
      <c r="C114" t="s">
        <v>247</v>
      </c>
      <c r="D114" t="s">
        <v>248</v>
      </c>
      <c r="E114" t="s">
        <v>249</v>
      </c>
      <c r="F114">
        <f t="shared" si="4"/>
        <v>0</v>
      </c>
      <c r="G114">
        <f t="shared" si="5"/>
        <v>0</v>
      </c>
      <c r="H114">
        <f t="shared" si="6"/>
        <v>0</v>
      </c>
      <c r="I114">
        <f t="shared" si="7"/>
        <v>1</v>
      </c>
      <c r="J114" t="s">
        <v>424</v>
      </c>
      <c r="K114" t="s">
        <v>425</v>
      </c>
      <c r="L114" t="s">
        <v>623</v>
      </c>
      <c r="M114" t="s">
        <v>665</v>
      </c>
    </row>
    <row r="115" spans="1:13" x14ac:dyDescent="0.35">
      <c r="A115">
        <v>2020</v>
      </c>
      <c r="B115" t="s">
        <v>189</v>
      </c>
      <c r="C115" t="s">
        <v>247</v>
      </c>
      <c r="D115" t="s">
        <v>248</v>
      </c>
      <c r="E115" t="s">
        <v>249</v>
      </c>
      <c r="F115">
        <f t="shared" si="4"/>
        <v>1</v>
      </c>
      <c r="G115">
        <f t="shared" si="5"/>
        <v>1</v>
      </c>
      <c r="H115">
        <f t="shared" si="6"/>
        <v>1</v>
      </c>
      <c r="I115">
        <f t="shared" si="7"/>
        <v>0</v>
      </c>
      <c r="J115" t="s">
        <v>307</v>
      </c>
      <c r="K115" t="s">
        <v>425</v>
      </c>
      <c r="L115" t="s">
        <v>623</v>
      </c>
      <c r="M115" t="s">
        <v>665</v>
      </c>
    </row>
    <row r="116" spans="1:13" x14ac:dyDescent="0.35">
      <c r="A116">
        <v>2019</v>
      </c>
      <c r="B116" t="s">
        <v>189</v>
      </c>
      <c r="C116" t="s">
        <v>176</v>
      </c>
      <c r="D116" t="s">
        <v>112</v>
      </c>
      <c r="E116" t="s">
        <v>250</v>
      </c>
      <c r="F116">
        <f t="shared" si="4"/>
        <v>0</v>
      </c>
      <c r="G116">
        <f t="shared" si="5"/>
        <v>0</v>
      </c>
      <c r="H116">
        <f t="shared" si="6"/>
        <v>0</v>
      </c>
      <c r="I116">
        <f t="shared" si="7"/>
        <v>0</v>
      </c>
      <c r="J116" t="s">
        <v>307</v>
      </c>
      <c r="K116" t="s">
        <v>425</v>
      </c>
      <c r="L116" t="s">
        <v>623</v>
      </c>
      <c r="M116" t="s">
        <v>665</v>
      </c>
    </row>
    <row r="117" spans="1:13" x14ac:dyDescent="0.35">
      <c r="A117">
        <v>2018</v>
      </c>
      <c r="B117" t="s">
        <v>189</v>
      </c>
      <c r="C117" t="s">
        <v>176</v>
      </c>
      <c r="D117" t="s">
        <v>112</v>
      </c>
      <c r="E117" t="s">
        <v>250</v>
      </c>
      <c r="F117">
        <f t="shared" si="4"/>
        <v>0</v>
      </c>
      <c r="G117">
        <f t="shared" si="5"/>
        <v>1</v>
      </c>
      <c r="H117">
        <f t="shared" si="6"/>
        <v>0</v>
      </c>
      <c r="I117">
        <f t="shared" si="7"/>
        <v>0</v>
      </c>
      <c r="J117" t="s">
        <v>307</v>
      </c>
      <c r="K117" t="s">
        <v>425</v>
      </c>
      <c r="L117" t="s">
        <v>623</v>
      </c>
      <c r="M117" t="s">
        <v>665</v>
      </c>
    </row>
    <row r="118" spans="1:13" x14ac:dyDescent="0.35">
      <c r="A118">
        <v>2017</v>
      </c>
      <c r="B118" t="s">
        <v>189</v>
      </c>
      <c r="C118" t="s">
        <v>176</v>
      </c>
      <c r="D118" t="s">
        <v>203</v>
      </c>
      <c r="E118" t="s">
        <v>250</v>
      </c>
      <c r="F118">
        <f t="shared" si="4"/>
        <v>0</v>
      </c>
      <c r="G118">
        <f t="shared" si="5"/>
        <v>0</v>
      </c>
      <c r="H118">
        <f t="shared" si="6"/>
        <v>1</v>
      </c>
      <c r="I118">
        <f t="shared" si="7"/>
        <v>1</v>
      </c>
      <c r="J118" t="s">
        <v>307</v>
      </c>
      <c r="K118" t="s">
        <v>426</v>
      </c>
      <c r="L118" t="s">
        <v>626</v>
      </c>
      <c r="M118" t="s">
        <v>665</v>
      </c>
    </row>
    <row r="119" spans="1:13" x14ac:dyDescent="0.35">
      <c r="A119">
        <v>2016</v>
      </c>
      <c r="B119" t="s">
        <v>189</v>
      </c>
      <c r="C119" t="s">
        <v>176</v>
      </c>
      <c r="D119" t="s">
        <v>203</v>
      </c>
      <c r="E119" t="s">
        <v>108</v>
      </c>
      <c r="F119">
        <f t="shared" si="4"/>
        <v>0</v>
      </c>
      <c r="G119">
        <f t="shared" si="5"/>
        <v>0</v>
      </c>
      <c r="H119">
        <f t="shared" si="6"/>
        <v>1</v>
      </c>
      <c r="I119">
        <f t="shared" si="7"/>
        <v>0</v>
      </c>
      <c r="J119" t="s">
        <v>285</v>
      </c>
      <c r="K119" t="s">
        <v>426</v>
      </c>
      <c r="L119" t="s">
        <v>626</v>
      </c>
      <c r="M119" t="s">
        <v>667</v>
      </c>
    </row>
    <row r="120" spans="1:13" x14ac:dyDescent="0.35">
      <c r="A120">
        <v>2015</v>
      </c>
      <c r="B120" t="s">
        <v>189</v>
      </c>
      <c r="C120" t="s">
        <v>176</v>
      </c>
      <c r="D120" t="s">
        <v>203</v>
      </c>
      <c r="E120" t="s">
        <v>6</v>
      </c>
      <c r="F120">
        <f t="shared" si="4"/>
        <v>0</v>
      </c>
      <c r="G120">
        <f t="shared" si="5"/>
        <v>0</v>
      </c>
      <c r="H120">
        <f t="shared" si="6"/>
        <v>0</v>
      </c>
      <c r="I120">
        <f t="shared" si="7"/>
        <v>0</v>
      </c>
      <c r="J120" t="s">
        <v>285</v>
      </c>
      <c r="K120" t="s">
        <v>426</v>
      </c>
      <c r="L120" t="s">
        <v>626</v>
      </c>
      <c r="M120" t="s">
        <v>665</v>
      </c>
    </row>
    <row r="121" spans="1:13" x14ac:dyDescent="0.35">
      <c r="A121">
        <v>2014</v>
      </c>
      <c r="B121" t="s">
        <v>189</v>
      </c>
      <c r="C121" t="s">
        <v>176</v>
      </c>
      <c r="D121" t="s">
        <v>203</v>
      </c>
      <c r="E121" t="s">
        <v>6</v>
      </c>
      <c r="F121">
        <f t="shared" si="4"/>
        <v>0</v>
      </c>
      <c r="G121">
        <f t="shared" si="5"/>
        <v>0</v>
      </c>
      <c r="H121">
        <f t="shared" si="6"/>
        <v>0</v>
      </c>
      <c r="I121">
        <f t="shared" si="7"/>
        <v>0</v>
      </c>
      <c r="J121" t="s">
        <v>285</v>
      </c>
      <c r="K121" t="s">
        <v>426</v>
      </c>
      <c r="L121" t="s">
        <v>626</v>
      </c>
      <c r="M121" t="s">
        <v>665</v>
      </c>
    </row>
    <row r="122" spans="1:13" x14ac:dyDescent="0.35">
      <c r="A122">
        <v>2013</v>
      </c>
      <c r="B122" t="s">
        <v>189</v>
      </c>
      <c r="C122" t="s">
        <v>176</v>
      </c>
      <c r="D122" t="s">
        <v>203</v>
      </c>
      <c r="E122" t="s">
        <v>6</v>
      </c>
      <c r="F122">
        <f t="shared" si="4"/>
        <v>0</v>
      </c>
      <c r="G122">
        <f t="shared" si="5"/>
        <v>1</v>
      </c>
      <c r="H122">
        <f t="shared" si="6"/>
        <v>0</v>
      </c>
      <c r="I122">
        <f t="shared" si="7"/>
        <v>1</v>
      </c>
      <c r="J122" t="s">
        <v>285</v>
      </c>
      <c r="K122" t="s">
        <v>426</v>
      </c>
      <c r="L122" t="s">
        <v>626</v>
      </c>
      <c r="M122" t="s">
        <v>665</v>
      </c>
    </row>
    <row r="123" spans="1:13" x14ac:dyDescent="0.35">
      <c r="A123">
        <v>2012</v>
      </c>
      <c r="B123" t="s">
        <v>189</v>
      </c>
      <c r="C123" t="s">
        <v>176</v>
      </c>
      <c r="D123" t="s">
        <v>251</v>
      </c>
      <c r="E123" t="s">
        <v>6</v>
      </c>
      <c r="F123">
        <f t="shared" si="4"/>
        <v>0</v>
      </c>
      <c r="G123">
        <f t="shared" si="5"/>
        <v>0</v>
      </c>
      <c r="H123">
        <f t="shared" si="6"/>
        <v>0</v>
      </c>
      <c r="I123">
        <f t="shared" si="7"/>
        <v>0</v>
      </c>
      <c r="J123" t="s">
        <v>307</v>
      </c>
      <c r="K123" t="s">
        <v>426</v>
      </c>
      <c r="L123" t="s">
        <v>623</v>
      </c>
      <c r="M123" t="s">
        <v>665</v>
      </c>
    </row>
    <row r="124" spans="1:13" x14ac:dyDescent="0.35">
      <c r="A124">
        <v>2011</v>
      </c>
      <c r="B124" t="s">
        <v>189</v>
      </c>
      <c r="C124" t="s">
        <v>176</v>
      </c>
      <c r="D124" t="s">
        <v>251</v>
      </c>
      <c r="E124" t="s">
        <v>6</v>
      </c>
      <c r="F124">
        <f t="shared" si="4"/>
        <v>1</v>
      </c>
      <c r="G124">
        <f t="shared" si="5"/>
        <v>1</v>
      </c>
      <c r="H124">
        <f t="shared" si="6"/>
        <v>1</v>
      </c>
      <c r="I124">
        <f t="shared" si="7"/>
        <v>0</v>
      </c>
      <c r="J124" t="s">
        <v>307</v>
      </c>
      <c r="K124" t="s">
        <v>426</v>
      </c>
      <c r="L124" t="s">
        <v>623</v>
      </c>
      <c r="M124" t="s">
        <v>665</v>
      </c>
    </row>
    <row r="125" spans="1:13" hidden="1" x14ac:dyDescent="0.35">
      <c r="A125">
        <v>2010</v>
      </c>
      <c r="B125" t="s">
        <v>189</v>
      </c>
      <c r="C125" t="s">
        <v>168</v>
      </c>
      <c r="D125" t="s">
        <v>252</v>
      </c>
      <c r="E125" t="s">
        <v>253</v>
      </c>
      <c r="F125">
        <f t="shared" si="4"/>
        <v>0</v>
      </c>
      <c r="G125">
        <f t="shared" si="5"/>
        <v>0</v>
      </c>
      <c r="H125">
        <f t="shared" si="6"/>
        <v>0</v>
      </c>
      <c r="I125">
        <f t="shared" si="7"/>
        <v>0</v>
      </c>
      <c r="J125" t="s">
        <v>307</v>
      </c>
      <c r="K125" t="s">
        <v>426</v>
      </c>
      <c r="L125" t="s">
        <v>629</v>
      </c>
      <c r="M125" t="s">
        <v>665</v>
      </c>
    </row>
    <row r="126" spans="1:13" hidden="1" x14ac:dyDescent="0.35">
      <c r="A126">
        <v>2009</v>
      </c>
      <c r="B126" t="s">
        <v>189</v>
      </c>
      <c r="C126" t="s">
        <v>168</v>
      </c>
      <c r="D126" t="s">
        <v>252</v>
      </c>
      <c r="E126" t="s">
        <v>253</v>
      </c>
      <c r="F126">
        <f t="shared" si="4"/>
        <v>0</v>
      </c>
      <c r="G126">
        <f t="shared" si="5"/>
        <v>0</v>
      </c>
      <c r="H126">
        <f t="shared" si="6"/>
        <v>1</v>
      </c>
      <c r="I126">
        <f t="shared" si="7"/>
        <v>0</v>
      </c>
      <c r="J126" t="s">
        <v>307</v>
      </c>
      <c r="K126" t="s">
        <v>426</v>
      </c>
      <c r="L126" t="s">
        <v>629</v>
      </c>
    </row>
    <row r="127" spans="1:13" hidden="1" x14ac:dyDescent="0.35">
      <c r="A127">
        <v>2008</v>
      </c>
      <c r="B127" t="s">
        <v>189</v>
      </c>
      <c r="C127" t="s">
        <v>168</v>
      </c>
      <c r="D127" t="s">
        <v>252</v>
      </c>
      <c r="E127" t="s">
        <v>427</v>
      </c>
      <c r="F127">
        <f t="shared" si="4"/>
        <v>0</v>
      </c>
      <c r="G127">
        <f t="shared" si="5"/>
        <v>0</v>
      </c>
      <c r="H127">
        <f t="shared" si="6"/>
        <v>0</v>
      </c>
      <c r="I127">
        <f t="shared" si="7"/>
        <v>0</v>
      </c>
      <c r="J127" t="s">
        <v>307</v>
      </c>
      <c r="K127" t="s">
        <v>426</v>
      </c>
      <c r="L127" t="s">
        <v>629</v>
      </c>
    </row>
    <row r="128" spans="1:13" hidden="1" x14ac:dyDescent="0.35">
      <c r="A128">
        <v>2007</v>
      </c>
      <c r="B128" t="s">
        <v>189</v>
      </c>
      <c r="C128" t="s">
        <v>168</v>
      </c>
      <c r="D128" t="s">
        <v>252</v>
      </c>
      <c r="E128" t="s">
        <v>427</v>
      </c>
      <c r="F128">
        <f t="shared" si="4"/>
        <v>0</v>
      </c>
      <c r="G128">
        <f t="shared" si="5"/>
        <v>1</v>
      </c>
      <c r="H128">
        <f t="shared" si="6"/>
        <v>0</v>
      </c>
      <c r="I128">
        <f t="shared" si="7"/>
        <v>0</v>
      </c>
      <c r="J128" t="s">
        <v>307</v>
      </c>
      <c r="K128" t="s">
        <v>426</v>
      </c>
      <c r="L128" t="s">
        <v>629</v>
      </c>
    </row>
    <row r="129" spans="1:13" hidden="1" x14ac:dyDescent="0.35">
      <c r="A129">
        <v>2006</v>
      </c>
      <c r="B129" t="s">
        <v>189</v>
      </c>
      <c r="C129" t="s">
        <v>168</v>
      </c>
      <c r="D129" t="s">
        <v>48</v>
      </c>
      <c r="E129" t="s">
        <v>427</v>
      </c>
      <c r="F129">
        <f t="shared" si="4"/>
        <v>0</v>
      </c>
      <c r="G129">
        <f t="shared" si="5"/>
        <v>0</v>
      </c>
      <c r="H129">
        <f t="shared" si="6"/>
        <v>0</v>
      </c>
      <c r="I129">
        <f t="shared" si="7"/>
        <v>0</v>
      </c>
      <c r="J129" t="s">
        <v>307</v>
      </c>
      <c r="K129" t="s">
        <v>426</v>
      </c>
      <c r="L129" t="s">
        <v>623</v>
      </c>
    </row>
    <row r="130" spans="1:13" hidden="1" x14ac:dyDescent="0.35">
      <c r="A130">
        <v>2005</v>
      </c>
      <c r="B130" t="s">
        <v>189</v>
      </c>
      <c r="C130" t="s">
        <v>168</v>
      </c>
      <c r="D130" t="s">
        <v>48</v>
      </c>
      <c r="E130" t="s">
        <v>427</v>
      </c>
      <c r="F130">
        <f t="shared" ref="F130:F193" si="8">IF(C130=C131,0,1)</f>
        <v>0</v>
      </c>
      <c r="G130">
        <f t="shared" ref="G130:G193" si="9">IF(D130=D131,0,1)</f>
        <v>0</v>
      </c>
      <c r="H130">
        <f t="shared" ref="H130:H193" si="10">IF(E130=E131,0,1)</f>
        <v>0</v>
      </c>
      <c r="I130">
        <f t="shared" ref="I130:I193" si="11">IF(J130=J131,0,1)</f>
        <v>0</v>
      </c>
      <c r="J130" t="s">
        <v>307</v>
      </c>
      <c r="K130" t="s">
        <v>426</v>
      </c>
      <c r="L130" t="s">
        <v>623</v>
      </c>
    </row>
    <row r="131" spans="1:13" hidden="1" x14ac:dyDescent="0.35">
      <c r="A131">
        <v>2004</v>
      </c>
      <c r="B131" t="s">
        <v>189</v>
      </c>
      <c r="C131" t="s">
        <v>168</v>
      </c>
      <c r="D131" t="s">
        <v>48</v>
      </c>
      <c r="E131" t="s">
        <v>427</v>
      </c>
      <c r="F131">
        <f t="shared" si="8"/>
        <v>0</v>
      </c>
      <c r="G131">
        <f t="shared" si="9"/>
        <v>0</v>
      </c>
      <c r="H131">
        <f t="shared" si="10"/>
        <v>0</v>
      </c>
      <c r="I131">
        <f t="shared" si="11"/>
        <v>0</v>
      </c>
      <c r="J131" t="s">
        <v>307</v>
      </c>
      <c r="K131" t="s">
        <v>426</v>
      </c>
      <c r="L131" t="s">
        <v>623</v>
      </c>
    </row>
    <row r="132" spans="1:13" hidden="1" x14ac:dyDescent="0.35">
      <c r="A132">
        <v>2003</v>
      </c>
      <c r="B132" t="s">
        <v>189</v>
      </c>
      <c r="C132" t="s">
        <v>168</v>
      </c>
      <c r="D132" t="s">
        <v>48</v>
      </c>
      <c r="E132" t="s">
        <v>427</v>
      </c>
      <c r="F132">
        <f t="shared" si="8"/>
        <v>0</v>
      </c>
      <c r="G132">
        <f t="shared" si="9"/>
        <v>0</v>
      </c>
      <c r="H132">
        <f t="shared" si="10"/>
        <v>1</v>
      </c>
      <c r="I132">
        <f t="shared" si="11"/>
        <v>0</v>
      </c>
      <c r="J132" t="s">
        <v>307</v>
      </c>
      <c r="K132" t="s">
        <v>426</v>
      </c>
      <c r="L132" t="s">
        <v>623</v>
      </c>
    </row>
    <row r="133" spans="1:13" hidden="1" x14ac:dyDescent="0.35">
      <c r="A133">
        <v>2002</v>
      </c>
      <c r="B133" t="s">
        <v>189</v>
      </c>
      <c r="C133" t="s">
        <v>168</v>
      </c>
      <c r="D133" t="s">
        <v>48</v>
      </c>
      <c r="E133" t="s">
        <v>90</v>
      </c>
      <c r="F133">
        <f t="shared" si="8"/>
        <v>1</v>
      </c>
      <c r="G133">
        <f t="shared" si="9"/>
        <v>1</v>
      </c>
      <c r="H133">
        <f t="shared" si="10"/>
        <v>1</v>
      </c>
      <c r="I133">
        <f t="shared" si="11"/>
        <v>1</v>
      </c>
      <c r="J133" t="s">
        <v>307</v>
      </c>
      <c r="K133" t="s">
        <v>426</v>
      </c>
      <c r="L133" t="s">
        <v>623</v>
      </c>
    </row>
    <row r="134" spans="1:13" hidden="1" x14ac:dyDescent="0.35">
      <c r="A134">
        <v>2001</v>
      </c>
      <c r="B134" t="s">
        <v>189</v>
      </c>
      <c r="C134" t="s">
        <v>428</v>
      </c>
      <c r="D134" t="s">
        <v>429</v>
      </c>
      <c r="E134" t="s">
        <v>164</v>
      </c>
      <c r="F134">
        <f t="shared" si="8"/>
        <v>0</v>
      </c>
      <c r="G134">
        <f t="shared" si="9"/>
        <v>0</v>
      </c>
      <c r="H134">
        <f t="shared" si="10"/>
        <v>0</v>
      </c>
      <c r="I134">
        <f t="shared" si="11"/>
        <v>0</v>
      </c>
      <c r="J134" t="s">
        <v>428</v>
      </c>
      <c r="K134" t="s">
        <v>426</v>
      </c>
    </row>
    <row r="135" spans="1:13" hidden="1" x14ac:dyDescent="0.35">
      <c r="A135">
        <v>2000</v>
      </c>
      <c r="B135" t="s">
        <v>189</v>
      </c>
      <c r="C135" t="s">
        <v>428</v>
      </c>
      <c r="D135" t="s">
        <v>429</v>
      </c>
      <c r="E135" t="s">
        <v>164</v>
      </c>
      <c r="F135">
        <f t="shared" si="8"/>
        <v>0</v>
      </c>
      <c r="G135">
        <f t="shared" si="9"/>
        <v>1</v>
      </c>
      <c r="H135">
        <f t="shared" si="10"/>
        <v>0</v>
      </c>
      <c r="I135">
        <f t="shared" si="11"/>
        <v>0</v>
      </c>
      <c r="J135" t="s">
        <v>428</v>
      </c>
      <c r="K135" t="s">
        <v>426</v>
      </c>
    </row>
    <row r="136" spans="1:13" hidden="1" x14ac:dyDescent="0.35">
      <c r="A136">
        <v>1999</v>
      </c>
      <c r="B136" t="s">
        <v>189</v>
      </c>
      <c r="C136" t="s">
        <v>428</v>
      </c>
      <c r="D136" t="s">
        <v>430</v>
      </c>
      <c r="E136" t="s">
        <v>164</v>
      </c>
      <c r="F136">
        <f t="shared" si="8"/>
        <v>1</v>
      </c>
      <c r="G136">
        <f t="shared" si="9"/>
        <v>1</v>
      </c>
      <c r="H136">
        <f t="shared" si="10"/>
        <v>1</v>
      </c>
      <c r="I136">
        <f t="shared" si="11"/>
        <v>1</v>
      </c>
      <c r="J136" t="s">
        <v>428</v>
      </c>
      <c r="K136" t="s">
        <v>426</v>
      </c>
      <c r="L136" t="s">
        <v>621</v>
      </c>
    </row>
    <row r="137" spans="1:13" x14ac:dyDescent="0.35">
      <c r="A137">
        <v>2025</v>
      </c>
      <c r="B137" t="s">
        <v>182</v>
      </c>
      <c r="C137" t="s">
        <v>648</v>
      </c>
      <c r="D137" t="s">
        <v>648</v>
      </c>
      <c r="E137" t="s">
        <v>156</v>
      </c>
      <c r="F137">
        <f t="shared" si="8"/>
        <v>1</v>
      </c>
      <c r="G137">
        <f t="shared" si="9"/>
        <v>1</v>
      </c>
      <c r="H137">
        <f t="shared" si="10"/>
        <v>1</v>
      </c>
      <c r="I137">
        <f t="shared" si="11"/>
        <v>0</v>
      </c>
      <c r="J137" t="s">
        <v>647</v>
      </c>
      <c r="K137" t="s">
        <v>432</v>
      </c>
      <c r="L137" t="s">
        <v>626</v>
      </c>
      <c r="M137" t="s">
        <v>665</v>
      </c>
    </row>
    <row r="138" spans="1:13" x14ac:dyDescent="0.35">
      <c r="A138">
        <v>2024</v>
      </c>
      <c r="B138" t="s">
        <v>182</v>
      </c>
      <c r="C138" t="s">
        <v>74</v>
      </c>
      <c r="D138" t="s">
        <v>587</v>
      </c>
      <c r="E138" t="s">
        <v>250</v>
      </c>
      <c r="F138">
        <f t="shared" si="8"/>
        <v>0</v>
      </c>
      <c r="G138">
        <f t="shared" si="9"/>
        <v>1</v>
      </c>
      <c r="H138">
        <f t="shared" si="10"/>
        <v>1</v>
      </c>
      <c r="I138">
        <f t="shared" si="11"/>
        <v>0</v>
      </c>
      <c r="J138" t="s">
        <v>647</v>
      </c>
      <c r="K138" t="s">
        <v>432</v>
      </c>
      <c r="L138" t="s">
        <v>626</v>
      </c>
      <c r="M138" t="s">
        <v>665</v>
      </c>
    </row>
    <row r="139" spans="1:13" x14ac:dyDescent="0.35">
      <c r="A139">
        <v>2023</v>
      </c>
      <c r="B139" t="s">
        <v>182</v>
      </c>
      <c r="C139" t="s">
        <v>74</v>
      </c>
      <c r="D139" t="s">
        <v>645</v>
      </c>
      <c r="E139" t="s">
        <v>646</v>
      </c>
      <c r="F139">
        <f t="shared" si="8"/>
        <v>0</v>
      </c>
      <c r="G139">
        <f t="shared" si="9"/>
        <v>0</v>
      </c>
      <c r="H139">
        <f t="shared" si="10"/>
        <v>0</v>
      </c>
      <c r="I139">
        <f t="shared" si="11"/>
        <v>0</v>
      </c>
      <c r="J139" t="s">
        <v>647</v>
      </c>
      <c r="K139" t="s">
        <v>432</v>
      </c>
      <c r="L139" t="s">
        <v>626</v>
      </c>
      <c r="M139" t="s">
        <v>665</v>
      </c>
    </row>
    <row r="140" spans="1:13" x14ac:dyDescent="0.35">
      <c r="A140">
        <v>2022</v>
      </c>
      <c r="B140" t="s">
        <v>182</v>
      </c>
      <c r="C140" t="s">
        <v>74</v>
      </c>
      <c r="D140" t="s">
        <v>645</v>
      </c>
      <c r="E140" t="s">
        <v>646</v>
      </c>
      <c r="F140">
        <f t="shared" si="8"/>
        <v>1</v>
      </c>
      <c r="G140">
        <f t="shared" si="9"/>
        <v>1</v>
      </c>
      <c r="H140">
        <f t="shared" si="10"/>
        <v>1</v>
      </c>
      <c r="I140">
        <f t="shared" si="11"/>
        <v>1</v>
      </c>
      <c r="J140" t="s">
        <v>647</v>
      </c>
      <c r="K140" t="s">
        <v>432</v>
      </c>
      <c r="L140" t="s">
        <v>626</v>
      </c>
      <c r="M140" t="s">
        <v>665</v>
      </c>
    </row>
    <row r="141" spans="1:13" x14ac:dyDescent="0.35">
      <c r="A141">
        <v>2021</v>
      </c>
      <c r="B141" t="s">
        <v>182</v>
      </c>
      <c r="C141" t="s">
        <v>151</v>
      </c>
      <c r="D141" t="s">
        <v>44</v>
      </c>
      <c r="E141" t="s">
        <v>431</v>
      </c>
      <c r="F141">
        <f t="shared" si="8"/>
        <v>0</v>
      </c>
      <c r="G141">
        <f t="shared" si="9"/>
        <v>0</v>
      </c>
      <c r="H141">
        <f t="shared" si="10"/>
        <v>1</v>
      </c>
      <c r="I141">
        <f t="shared" si="11"/>
        <v>0</v>
      </c>
      <c r="J141" t="s">
        <v>293</v>
      </c>
      <c r="K141" t="s">
        <v>432</v>
      </c>
      <c r="L141" t="s">
        <v>631</v>
      </c>
      <c r="M141" t="s">
        <v>667</v>
      </c>
    </row>
    <row r="142" spans="1:13" x14ac:dyDescent="0.35">
      <c r="A142">
        <v>2020</v>
      </c>
      <c r="B142" t="s">
        <v>182</v>
      </c>
      <c r="C142" t="s">
        <v>151</v>
      </c>
      <c r="D142" t="s">
        <v>44</v>
      </c>
      <c r="E142" t="s">
        <v>75</v>
      </c>
      <c r="F142">
        <f t="shared" si="8"/>
        <v>0</v>
      </c>
      <c r="G142">
        <f t="shared" si="9"/>
        <v>1</v>
      </c>
      <c r="H142">
        <f t="shared" si="10"/>
        <v>0</v>
      </c>
      <c r="I142">
        <f t="shared" si="11"/>
        <v>0</v>
      </c>
      <c r="J142" t="s">
        <v>293</v>
      </c>
      <c r="K142" t="s">
        <v>432</v>
      </c>
      <c r="L142" t="s">
        <v>631</v>
      </c>
      <c r="M142" t="s">
        <v>670</v>
      </c>
    </row>
    <row r="143" spans="1:13" x14ac:dyDescent="0.35">
      <c r="A143">
        <v>2019</v>
      </c>
      <c r="B143" t="s">
        <v>182</v>
      </c>
      <c r="C143" t="s">
        <v>151</v>
      </c>
      <c r="D143" t="s">
        <v>151</v>
      </c>
      <c r="E143" t="s">
        <v>75</v>
      </c>
      <c r="F143">
        <f t="shared" si="8"/>
        <v>0</v>
      </c>
      <c r="G143">
        <f t="shared" si="9"/>
        <v>0</v>
      </c>
      <c r="H143">
        <f t="shared" si="10"/>
        <v>1</v>
      </c>
      <c r="I143">
        <f t="shared" si="11"/>
        <v>0</v>
      </c>
      <c r="J143" t="s">
        <v>293</v>
      </c>
      <c r="K143" t="s">
        <v>432</v>
      </c>
      <c r="L143" t="s">
        <v>631</v>
      </c>
      <c r="M143" t="s">
        <v>670</v>
      </c>
    </row>
    <row r="144" spans="1:13" x14ac:dyDescent="0.35">
      <c r="A144">
        <v>2018</v>
      </c>
      <c r="B144" t="s">
        <v>182</v>
      </c>
      <c r="C144" t="s">
        <v>151</v>
      </c>
      <c r="D144" t="s">
        <v>151</v>
      </c>
      <c r="E144" t="s">
        <v>167</v>
      </c>
      <c r="F144">
        <f t="shared" si="8"/>
        <v>1</v>
      </c>
      <c r="G144">
        <f t="shared" si="9"/>
        <v>1</v>
      </c>
      <c r="H144">
        <f t="shared" si="10"/>
        <v>0</v>
      </c>
      <c r="I144">
        <f t="shared" si="11"/>
        <v>0</v>
      </c>
      <c r="J144" t="s">
        <v>293</v>
      </c>
      <c r="K144" t="s">
        <v>432</v>
      </c>
      <c r="L144" t="s">
        <v>631</v>
      </c>
      <c r="M144" t="s">
        <v>667</v>
      </c>
    </row>
    <row r="145" spans="1:13" x14ac:dyDescent="0.35">
      <c r="A145">
        <v>2017</v>
      </c>
      <c r="B145" t="s">
        <v>182</v>
      </c>
      <c r="C145" t="s">
        <v>168</v>
      </c>
      <c r="D145" t="s">
        <v>38</v>
      </c>
      <c r="E145" t="s">
        <v>167</v>
      </c>
      <c r="F145">
        <f t="shared" si="8"/>
        <v>0</v>
      </c>
      <c r="G145">
        <f t="shared" si="9"/>
        <v>0</v>
      </c>
      <c r="H145">
        <f t="shared" si="10"/>
        <v>0</v>
      </c>
      <c r="I145">
        <f t="shared" si="11"/>
        <v>0</v>
      </c>
      <c r="J145" t="s">
        <v>293</v>
      </c>
      <c r="K145" t="s">
        <v>432</v>
      </c>
      <c r="L145" t="s">
        <v>623</v>
      </c>
      <c r="M145" t="s">
        <v>667</v>
      </c>
    </row>
    <row r="146" spans="1:13" x14ac:dyDescent="0.35">
      <c r="A146">
        <v>2016</v>
      </c>
      <c r="B146" t="s">
        <v>182</v>
      </c>
      <c r="C146" t="s">
        <v>168</v>
      </c>
      <c r="D146" t="s">
        <v>38</v>
      </c>
      <c r="E146" t="s">
        <v>167</v>
      </c>
      <c r="F146">
        <f t="shared" si="8"/>
        <v>0</v>
      </c>
      <c r="G146">
        <f t="shared" si="9"/>
        <v>0</v>
      </c>
      <c r="H146">
        <f t="shared" si="10"/>
        <v>0</v>
      </c>
      <c r="I146">
        <f t="shared" si="11"/>
        <v>0</v>
      </c>
      <c r="J146" t="s">
        <v>293</v>
      </c>
      <c r="K146" t="s">
        <v>432</v>
      </c>
      <c r="L146" t="s">
        <v>623</v>
      </c>
      <c r="M146" t="s">
        <v>667</v>
      </c>
    </row>
    <row r="147" spans="1:13" x14ac:dyDescent="0.35">
      <c r="A147">
        <v>2015</v>
      </c>
      <c r="B147" t="s">
        <v>182</v>
      </c>
      <c r="C147" t="s">
        <v>168</v>
      </c>
      <c r="D147" t="s">
        <v>38</v>
      </c>
      <c r="E147" t="s">
        <v>167</v>
      </c>
      <c r="F147">
        <f t="shared" si="8"/>
        <v>1</v>
      </c>
      <c r="G147">
        <f t="shared" si="9"/>
        <v>1</v>
      </c>
      <c r="H147">
        <f t="shared" si="10"/>
        <v>1</v>
      </c>
      <c r="I147">
        <f t="shared" si="11"/>
        <v>1</v>
      </c>
      <c r="J147" t="s">
        <v>293</v>
      </c>
      <c r="K147" t="s">
        <v>432</v>
      </c>
      <c r="L147" t="s">
        <v>623</v>
      </c>
      <c r="M147" t="s">
        <v>667</v>
      </c>
    </row>
    <row r="148" spans="1:13" x14ac:dyDescent="0.35">
      <c r="A148">
        <v>2014</v>
      </c>
      <c r="B148" t="s">
        <v>182</v>
      </c>
      <c r="C148" t="s">
        <v>136</v>
      </c>
      <c r="D148" t="s">
        <v>219</v>
      </c>
      <c r="E148" t="s">
        <v>89</v>
      </c>
      <c r="F148">
        <f t="shared" si="8"/>
        <v>0</v>
      </c>
      <c r="G148">
        <f t="shared" si="9"/>
        <v>0</v>
      </c>
      <c r="H148">
        <f t="shared" si="10"/>
        <v>0</v>
      </c>
      <c r="I148">
        <f t="shared" si="11"/>
        <v>0</v>
      </c>
      <c r="J148" t="s">
        <v>294</v>
      </c>
      <c r="K148" t="s">
        <v>432</v>
      </c>
      <c r="L148" t="s">
        <v>623</v>
      </c>
      <c r="M148" t="s">
        <v>669</v>
      </c>
    </row>
    <row r="149" spans="1:13" x14ac:dyDescent="0.35">
      <c r="A149">
        <v>2013</v>
      </c>
      <c r="B149" t="s">
        <v>182</v>
      </c>
      <c r="C149" t="s">
        <v>136</v>
      </c>
      <c r="D149" t="s">
        <v>219</v>
      </c>
      <c r="E149" t="s">
        <v>89</v>
      </c>
      <c r="F149">
        <f t="shared" si="8"/>
        <v>1</v>
      </c>
      <c r="G149">
        <f t="shared" si="9"/>
        <v>1</v>
      </c>
      <c r="H149">
        <f t="shared" si="10"/>
        <v>1</v>
      </c>
      <c r="I149">
        <f t="shared" si="11"/>
        <v>0</v>
      </c>
      <c r="J149" t="s">
        <v>294</v>
      </c>
      <c r="K149" t="s">
        <v>432</v>
      </c>
      <c r="L149" t="s">
        <v>623</v>
      </c>
      <c r="M149" t="s">
        <v>669</v>
      </c>
    </row>
    <row r="150" spans="1:13" x14ac:dyDescent="0.35">
      <c r="A150">
        <v>2012</v>
      </c>
      <c r="B150" t="s">
        <v>182</v>
      </c>
      <c r="C150" t="s">
        <v>218</v>
      </c>
      <c r="D150" t="s">
        <v>220</v>
      </c>
      <c r="E150" t="s">
        <v>199</v>
      </c>
      <c r="F150">
        <f t="shared" si="8"/>
        <v>0</v>
      </c>
      <c r="G150">
        <f t="shared" si="9"/>
        <v>1</v>
      </c>
      <c r="H150">
        <f t="shared" si="10"/>
        <v>0</v>
      </c>
      <c r="I150">
        <f t="shared" si="11"/>
        <v>1</v>
      </c>
      <c r="J150" t="s">
        <v>294</v>
      </c>
      <c r="K150" t="s">
        <v>432</v>
      </c>
      <c r="L150" t="s">
        <v>626</v>
      </c>
      <c r="M150" t="s">
        <v>665</v>
      </c>
    </row>
    <row r="151" spans="1:13" x14ac:dyDescent="0.35">
      <c r="A151">
        <v>2011</v>
      </c>
      <c r="B151" t="s">
        <v>182</v>
      </c>
      <c r="C151" t="s">
        <v>218</v>
      </c>
      <c r="D151" t="s">
        <v>221</v>
      </c>
      <c r="E151" t="s">
        <v>199</v>
      </c>
      <c r="F151">
        <f t="shared" si="8"/>
        <v>0</v>
      </c>
      <c r="G151">
        <f t="shared" si="9"/>
        <v>0</v>
      </c>
      <c r="H151">
        <f t="shared" si="10"/>
        <v>0</v>
      </c>
      <c r="I151">
        <f t="shared" si="11"/>
        <v>0</v>
      </c>
      <c r="J151" t="s">
        <v>295</v>
      </c>
      <c r="K151" t="s">
        <v>432</v>
      </c>
      <c r="L151" t="s">
        <v>629</v>
      </c>
      <c r="M151" t="s">
        <v>665</v>
      </c>
    </row>
    <row r="152" spans="1:13" hidden="1" x14ac:dyDescent="0.35">
      <c r="A152">
        <v>2010</v>
      </c>
      <c r="B152" t="s">
        <v>182</v>
      </c>
      <c r="C152" t="s">
        <v>218</v>
      </c>
      <c r="D152" t="s">
        <v>221</v>
      </c>
      <c r="E152" t="s">
        <v>199</v>
      </c>
      <c r="F152">
        <f t="shared" si="8"/>
        <v>0</v>
      </c>
      <c r="G152">
        <f t="shared" si="9"/>
        <v>1</v>
      </c>
      <c r="H152">
        <f t="shared" si="10"/>
        <v>1</v>
      </c>
      <c r="I152">
        <f t="shared" si="11"/>
        <v>0</v>
      </c>
      <c r="J152" t="s">
        <v>295</v>
      </c>
      <c r="K152" t="s">
        <v>432</v>
      </c>
      <c r="L152" t="s">
        <v>629</v>
      </c>
      <c r="M152" t="s">
        <v>665</v>
      </c>
    </row>
    <row r="153" spans="1:13" hidden="1" x14ac:dyDescent="0.35">
      <c r="A153">
        <v>2009</v>
      </c>
      <c r="B153" t="s">
        <v>182</v>
      </c>
      <c r="C153" t="s">
        <v>218</v>
      </c>
      <c r="D153" t="s">
        <v>433</v>
      </c>
      <c r="E153" t="s">
        <v>86</v>
      </c>
      <c r="F153">
        <f t="shared" si="8"/>
        <v>0</v>
      </c>
      <c r="G153">
        <f t="shared" si="9"/>
        <v>0</v>
      </c>
      <c r="H153">
        <f t="shared" si="10"/>
        <v>0</v>
      </c>
      <c r="I153">
        <f t="shared" si="11"/>
        <v>0</v>
      </c>
      <c r="J153" t="s">
        <v>295</v>
      </c>
      <c r="K153" t="s">
        <v>432</v>
      </c>
    </row>
    <row r="154" spans="1:13" hidden="1" x14ac:dyDescent="0.35">
      <c r="A154">
        <v>2008</v>
      </c>
      <c r="B154" t="s">
        <v>182</v>
      </c>
      <c r="C154" t="s">
        <v>218</v>
      </c>
      <c r="D154" t="s">
        <v>433</v>
      </c>
      <c r="E154" t="s">
        <v>86</v>
      </c>
      <c r="F154">
        <f t="shared" si="8"/>
        <v>0</v>
      </c>
      <c r="G154">
        <f t="shared" si="9"/>
        <v>0</v>
      </c>
      <c r="H154">
        <f t="shared" si="10"/>
        <v>0</v>
      </c>
      <c r="I154">
        <f t="shared" si="11"/>
        <v>0</v>
      </c>
      <c r="J154" t="s">
        <v>295</v>
      </c>
      <c r="K154" t="s">
        <v>432</v>
      </c>
    </row>
    <row r="155" spans="1:13" hidden="1" x14ac:dyDescent="0.35">
      <c r="A155">
        <v>2007</v>
      </c>
      <c r="B155" t="s">
        <v>182</v>
      </c>
      <c r="C155" t="s">
        <v>218</v>
      </c>
      <c r="D155" t="s">
        <v>433</v>
      </c>
      <c r="E155" t="s">
        <v>86</v>
      </c>
      <c r="F155">
        <f t="shared" si="8"/>
        <v>0</v>
      </c>
      <c r="G155">
        <f t="shared" si="9"/>
        <v>0</v>
      </c>
      <c r="H155">
        <f t="shared" si="10"/>
        <v>1</v>
      </c>
      <c r="I155">
        <f t="shared" si="11"/>
        <v>0</v>
      </c>
      <c r="J155" t="s">
        <v>295</v>
      </c>
      <c r="K155" t="s">
        <v>432</v>
      </c>
    </row>
    <row r="156" spans="1:13" hidden="1" x14ac:dyDescent="0.35">
      <c r="A156">
        <v>2006</v>
      </c>
      <c r="B156" t="s">
        <v>182</v>
      </c>
      <c r="C156" t="s">
        <v>218</v>
      </c>
      <c r="D156" t="s">
        <v>433</v>
      </c>
      <c r="E156" t="s">
        <v>176</v>
      </c>
      <c r="F156">
        <f t="shared" si="8"/>
        <v>0</v>
      </c>
      <c r="G156">
        <f t="shared" si="9"/>
        <v>0</v>
      </c>
      <c r="H156">
        <f t="shared" si="10"/>
        <v>0</v>
      </c>
      <c r="I156">
        <f t="shared" si="11"/>
        <v>0</v>
      </c>
      <c r="J156" t="s">
        <v>295</v>
      </c>
      <c r="K156" t="s">
        <v>432</v>
      </c>
    </row>
    <row r="157" spans="1:13" hidden="1" x14ac:dyDescent="0.35">
      <c r="A157">
        <v>2005</v>
      </c>
      <c r="B157" t="s">
        <v>182</v>
      </c>
      <c r="C157" t="s">
        <v>218</v>
      </c>
      <c r="D157" t="s">
        <v>433</v>
      </c>
      <c r="E157" t="s">
        <v>176</v>
      </c>
      <c r="F157">
        <f t="shared" si="8"/>
        <v>0</v>
      </c>
      <c r="G157">
        <f t="shared" si="9"/>
        <v>1</v>
      </c>
      <c r="H157">
        <f t="shared" si="10"/>
        <v>0</v>
      </c>
      <c r="I157">
        <f t="shared" si="11"/>
        <v>0</v>
      </c>
      <c r="J157" t="s">
        <v>295</v>
      </c>
      <c r="K157" t="s">
        <v>432</v>
      </c>
    </row>
    <row r="158" spans="1:13" hidden="1" x14ac:dyDescent="0.35">
      <c r="A158">
        <v>2004</v>
      </c>
      <c r="B158" t="s">
        <v>182</v>
      </c>
      <c r="C158" t="s">
        <v>218</v>
      </c>
      <c r="D158" t="s">
        <v>434</v>
      </c>
      <c r="E158" t="s">
        <v>176</v>
      </c>
      <c r="F158">
        <f t="shared" si="8"/>
        <v>1</v>
      </c>
      <c r="G158">
        <f t="shared" si="9"/>
        <v>1</v>
      </c>
      <c r="H158">
        <f t="shared" si="10"/>
        <v>1</v>
      </c>
      <c r="I158">
        <f t="shared" si="11"/>
        <v>0</v>
      </c>
      <c r="J158" t="s">
        <v>295</v>
      </c>
      <c r="K158" t="s">
        <v>432</v>
      </c>
    </row>
    <row r="159" spans="1:13" hidden="1" x14ac:dyDescent="0.35">
      <c r="A159">
        <v>2003</v>
      </c>
      <c r="B159" t="s">
        <v>182</v>
      </c>
      <c r="C159" t="s">
        <v>114</v>
      </c>
      <c r="D159" t="s">
        <v>435</v>
      </c>
      <c r="E159" t="s">
        <v>436</v>
      </c>
      <c r="F159">
        <f t="shared" si="8"/>
        <v>0</v>
      </c>
      <c r="G159">
        <f t="shared" si="9"/>
        <v>0</v>
      </c>
      <c r="H159">
        <f t="shared" si="10"/>
        <v>0</v>
      </c>
      <c r="I159">
        <f t="shared" si="11"/>
        <v>0</v>
      </c>
      <c r="J159" t="s">
        <v>295</v>
      </c>
      <c r="K159" t="s">
        <v>432</v>
      </c>
    </row>
    <row r="160" spans="1:13" hidden="1" x14ac:dyDescent="0.35">
      <c r="A160">
        <v>2002</v>
      </c>
      <c r="B160" t="s">
        <v>182</v>
      </c>
      <c r="C160" t="s">
        <v>114</v>
      </c>
      <c r="D160" t="s">
        <v>435</v>
      </c>
      <c r="E160" t="s">
        <v>436</v>
      </c>
      <c r="F160">
        <f t="shared" si="8"/>
        <v>0</v>
      </c>
      <c r="G160">
        <f t="shared" si="9"/>
        <v>0</v>
      </c>
      <c r="H160">
        <f t="shared" si="10"/>
        <v>0</v>
      </c>
      <c r="I160">
        <f t="shared" si="11"/>
        <v>0</v>
      </c>
      <c r="J160" t="s">
        <v>295</v>
      </c>
      <c r="K160" t="s">
        <v>432</v>
      </c>
    </row>
    <row r="161" spans="1:13" hidden="1" x14ac:dyDescent="0.35">
      <c r="A161">
        <v>2001</v>
      </c>
      <c r="B161" t="s">
        <v>182</v>
      </c>
      <c r="C161" t="s">
        <v>114</v>
      </c>
      <c r="D161" t="s">
        <v>435</v>
      </c>
      <c r="E161" t="s">
        <v>436</v>
      </c>
      <c r="F161">
        <f t="shared" si="8"/>
        <v>0</v>
      </c>
      <c r="G161">
        <f t="shared" si="9"/>
        <v>1</v>
      </c>
      <c r="H161">
        <f t="shared" si="10"/>
        <v>0</v>
      </c>
      <c r="I161">
        <f t="shared" si="11"/>
        <v>1</v>
      </c>
      <c r="J161" t="s">
        <v>295</v>
      </c>
      <c r="K161" t="s">
        <v>432</v>
      </c>
    </row>
    <row r="162" spans="1:13" hidden="1" x14ac:dyDescent="0.35">
      <c r="A162">
        <v>2000</v>
      </c>
      <c r="B162" t="s">
        <v>182</v>
      </c>
      <c r="C162" t="s">
        <v>114</v>
      </c>
      <c r="D162" t="s">
        <v>437</v>
      </c>
      <c r="E162" t="s">
        <v>436</v>
      </c>
      <c r="F162">
        <f t="shared" si="8"/>
        <v>0</v>
      </c>
      <c r="G162">
        <f t="shared" si="9"/>
        <v>0</v>
      </c>
      <c r="H162">
        <f t="shared" si="10"/>
        <v>0</v>
      </c>
      <c r="I162">
        <f t="shared" si="11"/>
        <v>0</v>
      </c>
      <c r="J162" t="s">
        <v>438</v>
      </c>
      <c r="K162" t="s">
        <v>432</v>
      </c>
      <c r="L162" t="s">
        <v>620</v>
      </c>
    </row>
    <row r="163" spans="1:13" hidden="1" x14ac:dyDescent="0.35">
      <c r="A163">
        <v>1999</v>
      </c>
      <c r="B163" t="s">
        <v>182</v>
      </c>
      <c r="C163" t="s">
        <v>114</v>
      </c>
      <c r="D163" t="s">
        <v>437</v>
      </c>
      <c r="E163" t="s">
        <v>436</v>
      </c>
      <c r="F163">
        <f t="shared" si="8"/>
        <v>1</v>
      </c>
      <c r="G163">
        <f t="shared" si="9"/>
        <v>1</v>
      </c>
      <c r="H163">
        <f t="shared" si="10"/>
        <v>1</v>
      </c>
      <c r="I163">
        <f t="shared" si="11"/>
        <v>1</v>
      </c>
      <c r="J163" t="s">
        <v>438</v>
      </c>
      <c r="K163" t="s">
        <v>432</v>
      </c>
      <c r="L163" t="s">
        <v>620</v>
      </c>
    </row>
    <row r="164" spans="1:13" x14ac:dyDescent="0.35">
      <c r="A164">
        <v>2025</v>
      </c>
      <c r="B164" t="s">
        <v>137</v>
      </c>
      <c r="C164" t="s">
        <v>138</v>
      </c>
      <c r="D164" t="s">
        <v>138</v>
      </c>
      <c r="E164" t="s">
        <v>687</v>
      </c>
      <c r="F164">
        <f t="shared" si="8"/>
        <v>0</v>
      </c>
      <c r="G164">
        <f t="shared" si="9"/>
        <v>0</v>
      </c>
      <c r="H164">
        <f t="shared" si="10"/>
        <v>1</v>
      </c>
      <c r="I164">
        <f t="shared" si="11"/>
        <v>0</v>
      </c>
      <c r="J164" t="s">
        <v>273</v>
      </c>
      <c r="K164" t="s">
        <v>273</v>
      </c>
      <c r="L164" t="s">
        <v>627</v>
      </c>
      <c r="M164" t="s">
        <v>670</v>
      </c>
    </row>
    <row r="165" spans="1:13" x14ac:dyDescent="0.35">
      <c r="A165">
        <v>2024</v>
      </c>
      <c r="B165" t="s">
        <v>137</v>
      </c>
      <c r="C165" t="s">
        <v>138</v>
      </c>
      <c r="D165" t="s">
        <v>138</v>
      </c>
      <c r="E165" t="s">
        <v>140</v>
      </c>
      <c r="F165">
        <f t="shared" si="8"/>
        <v>0</v>
      </c>
      <c r="G165">
        <f t="shared" si="9"/>
        <v>1</v>
      </c>
      <c r="H165">
        <f t="shared" si="10"/>
        <v>0</v>
      </c>
      <c r="I165">
        <f t="shared" si="11"/>
        <v>0</v>
      </c>
      <c r="J165" t="s">
        <v>273</v>
      </c>
      <c r="K165" t="s">
        <v>273</v>
      </c>
      <c r="L165" t="s">
        <v>627</v>
      </c>
      <c r="M165" t="s">
        <v>670</v>
      </c>
    </row>
    <row r="166" spans="1:13" x14ac:dyDescent="0.35">
      <c r="A166">
        <v>2023</v>
      </c>
      <c r="B166" t="s">
        <v>137</v>
      </c>
      <c r="C166" t="s">
        <v>138</v>
      </c>
      <c r="D166" t="s">
        <v>139</v>
      </c>
      <c r="E166" t="s">
        <v>140</v>
      </c>
      <c r="F166">
        <f t="shared" si="8"/>
        <v>0</v>
      </c>
      <c r="G166">
        <f t="shared" si="9"/>
        <v>0</v>
      </c>
      <c r="H166">
        <f t="shared" si="10"/>
        <v>0</v>
      </c>
      <c r="I166">
        <f t="shared" si="11"/>
        <v>0</v>
      </c>
      <c r="J166" t="s">
        <v>273</v>
      </c>
      <c r="K166" t="s">
        <v>273</v>
      </c>
      <c r="L166" t="s">
        <v>627</v>
      </c>
      <c r="M166" t="s">
        <v>670</v>
      </c>
    </row>
    <row r="167" spans="1:13" x14ac:dyDescent="0.35">
      <c r="A167">
        <v>2022</v>
      </c>
      <c r="B167" t="s">
        <v>137</v>
      </c>
      <c r="C167" t="s">
        <v>138</v>
      </c>
      <c r="D167" t="s">
        <v>139</v>
      </c>
      <c r="E167" t="s">
        <v>140</v>
      </c>
      <c r="F167">
        <f t="shared" si="8"/>
        <v>0</v>
      </c>
      <c r="G167">
        <f t="shared" si="9"/>
        <v>0</v>
      </c>
      <c r="H167">
        <f t="shared" si="10"/>
        <v>0</v>
      </c>
      <c r="I167">
        <f t="shared" si="11"/>
        <v>0</v>
      </c>
      <c r="J167" t="s">
        <v>273</v>
      </c>
      <c r="K167" t="s">
        <v>273</v>
      </c>
      <c r="L167" t="s">
        <v>631</v>
      </c>
      <c r="M167" t="s">
        <v>670</v>
      </c>
    </row>
    <row r="168" spans="1:13" x14ac:dyDescent="0.35">
      <c r="A168">
        <v>2021</v>
      </c>
      <c r="B168" t="s">
        <v>137</v>
      </c>
      <c r="C168" t="s">
        <v>138</v>
      </c>
      <c r="D168" t="s">
        <v>139</v>
      </c>
      <c r="E168" t="s">
        <v>140</v>
      </c>
      <c r="F168">
        <f t="shared" si="8"/>
        <v>0</v>
      </c>
      <c r="G168">
        <f t="shared" si="9"/>
        <v>0</v>
      </c>
      <c r="H168">
        <f t="shared" si="10"/>
        <v>0</v>
      </c>
      <c r="I168">
        <f t="shared" si="11"/>
        <v>0</v>
      </c>
      <c r="J168" t="s">
        <v>273</v>
      </c>
      <c r="K168" t="s">
        <v>273</v>
      </c>
      <c r="L168" t="s">
        <v>631</v>
      </c>
      <c r="M168" t="s">
        <v>670</v>
      </c>
    </row>
    <row r="169" spans="1:13" x14ac:dyDescent="0.35">
      <c r="A169">
        <v>2020</v>
      </c>
      <c r="B169" t="s">
        <v>137</v>
      </c>
      <c r="C169" t="s">
        <v>138</v>
      </c>
      <c r="D169" t="s">
        <v>139</v>
      </c>
      <c r="E169" t="s">
        <v>140</v>
      </c>
      <c r="F169">
        <f t="shared" si="8"/>
        <v>0</v>
      </c>
      <c r="G169">
        <f t="shared" si="9"/>
        <v>0</v>
      </c>
      <c r="H169">
        <f t="shared" si="10"/>
        <v>0</v>
      </c>
      <c r="I169">
        <f t="shared" si="11"/>
        <v>0</v>
      </c>
      <c r="J169" t="s">
        <v>273</v>
      </c>
      <c r="K169" t="s">
        <v>273</v>
      </c>
      <c r="L169" t="s">
        <v>631</v>
      </c>
      <c r="M169" t="s">
        <v>670</v>
      </c>
    </row>
    <row r="170" spans="1:13" x14ac:dyDescent="0.35">
      <c r="A170">
        <v>2019</v>
      </c>
      <c r="B170" t="s">
        <v>137</v>
      </c>
      <c r="C170" t="s">
        <v>138</v>
      </c>
      <c r="D170" t="s">
        <v>139</v>
      </c>
      <c r="E170" t="s">
        <v>140</v>
      </c>
      <c r="F170">
        <f t="shared" si="8"/>
        <v>1</v>
      </c>
      <c r="G170">
        <f t="shared" si="9"/>
        <v>1</v>
      </c>
      <c r="H170">
        <f t="shared" si="10"/>
        <v>1</v>
      </c>
      <c r="I170">
        <f t="shared" si="11"/>
        <v>0</v>
      </c>
      <c r="J170" t="s">
        <v>273</v>
      </c>
      <c r="K170" t="s">
        <v>273</v>
      </c>
      <c r="L170" t="s">
        <v>631</v>
      </c>
      <c r="M170" t="s">
        <v>670</v>
      </c>
    </row>
    <row r="171" spans="1:13" x14ac:dyDescent="0.35">
      <c r="A171">
        <v>2018</v>
      </c>
      <c r="B171" t="s">
        <v>137</v>
      </c>
      <c r="C171" t="s">
        <v>141</v>
      </c>
      <c r="D171" t="s">
        <v>44</v>
      </c>
      <c r="E171" t="s">
        <v>143</v>
      </c>
      <c r="F171">
        <f t="shared" si="8"/>
        <v>0</v>
      </c>
      <c r="G171">
        <f t="shared" si="9"/>
        <v>1</v>
      </c>
      <c r="H171">
        <f t="shared" si="10"/>
        <v>1</v>
      </c>
      <c r="I171">
        <f t="shared" si="11"/>
        <v>0</v>
      </c>
      <c r="J171" t="s">
        <v>273</v>
      </c>
      <c r="K171" t="s">
        <v>273</v>
      </c>
      <c r="L171" t="s">
        <v>626</v>
      </c>
      <c r="M171" t="s">
        <v>674</v>
      </c>
    </row>
    <row r="172" spans="1:13" x14ac:dyDescent="0.35">
      <c r="A172">
        <v>2017</v>
      </c>
      <c r="B172" t="s">
        <v>137</v>
      </c>
      <c r="C172" t="s">
        <v>141</v>
      </c>
      <c r="D172" t="s">
        <v>142</v>
      </c>
      <c r="E172" t="s">
        <v>144</v>
      </c>
      <c r="F172">
        <f t="shared" si="8"/>
        <v>0</v>
      </c>
      <c r="G172">
        <f t="shared" si="9"/>
        <v>0</v>
      </c>
      <c r="H172">
        <f t="shared" si="10"/>
        <v>0</v>
      </c>
      <c r="I172">
        <f t="shared" si="11"/>
        <v>0</v>
      </c>
      <c r="J172" t="s">
        <v>273</v>
      </c>
      <c r="K172" t="s">
        <v>273</v>
      </c>
      <c r="L172" t="s">
        <v>626</v>
      </c>
      <c r="M172" t="s">
        <v>670</v>
      </c>
    </row>
    <row r="173" spans="1:13" x14ac:dyDescent="0.35">
      <c r="A173">
        <v>2016</v>
      </c>
      <c r="B173" t="s">
        <v>137</v>
      </c>
      <c r="C173" t="s">
        <v>141</v>
      </c>
      <c r="D173" t="s">
        <v>142</v>
      </c>
      <c r="E173" t="s">
        <v>144</v>
      </c>
      <c r="F173">
        <f t="shared" si="8"/>
        <v>0</v>
      </c>
      <c r="G173">
        <f t="shared" si="9"/>
        <v>1</v>
      </c>
      <c r="H173">
        <f t="shared" si="10"/>
        <v>0</v>
      </c>
      <c r="I173">
        <f t="shared" si="11"/>
        <v>0</v>
      </c>
      <c r="J173" t="s">
        <v>273</v>
      </c>
      <c r="K173" t="s">
        <v>273</v>
      </c>
      <c r="L173" t="s">
        <v>626</v>
      </c>
      <c r="M173" t="s">
        <v>670</v>
      </c>
    </row>
    <row r="174" spans="1:13" x14ac:dyDescent="0.35">
      <c r="A174">
        <v>2015</v>
      </c>
      <c r="B174" t="s">
        <v>137</v>
      </c>
      <c r="C174" t="s">
        <v>141</v>
      </c>
      <c r="D174" t="s">
        <v>109</v>
      </c>
      <c r="E174" t="s">
        <v>144</v>
      </c>
      <c r="F174">
        <f t="shared" si="8"/>
        <v>0</v>
      </c>
      <c r="G174">
        <f t="shared" si="9"/>
        <v>0</v>
      </c>
      <c r="H174">
        <f t="shared" si="10"/>
        <v>0</v>
      </c>
      <c r="I174">
        <f t="shared" si="11"/>
        <v>0</v>
      </c>
      <c r="J174" t="s">
        <v>273</v>
      </c>
      <c r="K174" t="s">
        <v>273</v>
      </c>
      <c r="L174" t="s">
        <v>626</v>
      </c>
      <c r="M174" t="s">
        <v>670</v>
      </c>
    </row>
    <row r="175" spans="1:13" x14ac:dyDescent="0.35">
      <c r="A175">
        <v>2014</v>
      </c>
      <c r="B175" t="s">
        <v>137</v>
      </c>
      <c r="C175" t="s">
        <v>141</v>
      </c>
      <c r="D175" t="s">
        <v>109</v>
      </c>
      <c r="E175" t="s">
        <v>144</v>
      </c>
      <c r="F175">
        <f t="shared" si="8"/>
        <v>0</v>
      </c>
      <c r="G175">
        <f t="shared" si="9"/>
        <v>1</v>
      </c>
      <c r="H175">
        <f t="shared" si="10"/>
        <v>1</v>
      </c>
      <c r="I175">
        <f t="shared" si="11"/>
        <v>0</v>
      </c>
      <c r="J175" t="s">
        <v>273</v>
      </c>
      <c r="K175" t="s">
        <v>273</v>
      </c>
      <c r="L175" t="s">
        <v>626</v>
      </c>
      <c r="M175" t="s">
        <v>670</v>
      </c>
    </row>
    <row r="176" spans="1:13" x14ac:dyDescent="0.35">
      <c r="A176">
        <v>2013</v>
      </c>
      <c r="B176" t="s">
        <v>137</v>
      </c>
      <c r="C176" t="s">
        <v>141</v>
      </c>
      <c r="D176" t="s">
        <v>81</v>
      </c>
      <c r="E176" t="s">
        <v>145</v>
      </c>
      <c r="F176">
        <f t="shared" si="8"/>
        <v>0</v>
      </c>
      <c r="G176">
        <f t="shared" si="9"/>
        <v>0</v>
      </c>
      <c r="H176">
        <f t="shared" si="10"/>
        <v>0</v>
      </c>
      <c r="I176">
        <f t="shared" si="11"/>
        <v>0</v>
      </c>
      <c r="J176" t="s">
        <v>273</v>
      </c>
      <c r="K176" t="s">
        <v>273</v>
      </c>
      <c r="L176" t="s">
        <v>626</v>
      </c>
      <c r="M176" t="s">
        <v>670</v>
      </c>
    </row>
    <row r="177" spans="1:13" x14ac:dyDescent="0.35">
      <c r="A177">
        <v>2012</v>
      </c>
      <c r="B177" t="s">
        <v>137</v>
      </c>
      <c r="C177" t="s">
        <v>141</v>
      </c>
      <c r="D177" t="s">
        <v>81</v>
      </c>
      <c r="E177" t="s">
        <v>145</v>
      </c>
      <c r="F177">
        <f t="shared" si="8"/>
        <v>0</v>
      </c>
      <c r="G177">
        <f t="shared" si="9"/>
        <v>0</v>
      </c>
      <c r="H177">
        <f t="shared" si="10"/>
        <v>0</v>
      </c>
      <c r="I177">
        <f t="shared" si="11"/>
        <v>0</v>
      </c>
      <c r="J177" t="s">
        <v>273</v>
      </c>
      <c r="K177" t="s">
        <v>273</v>
      </c>
      <c r="L177" t="s">
        <v>626</v>
      </c>
      <c r="M177" t="s">
        <v>670</v>
      </c>
    </row>
    <row r="178" spans="1:13" x14ac:dyDescent="0.35">
      <c r="A178">
        <v>2011</v>
      </c>
      <c r="B178" t="s">
        <v>137</v>
      </c>
      <c r="C178" t="s">
        <v>141</v>
      </c>
      <c r="D178" t="s">
        <v>81</v>
      </c>
      <c r="E178" t="s">
        <v>145</v>
      </c>
      <c r="F178">
        <f t="shared" si="8"/>
        <v>0</v>
      </c>
      <c r="G178">
        <f t="shared" si="9"/>
        <v>1</v>
      </c>
      <c r="H178">
        <f t="shared" si="10"/>
        <v>0</v>
      </c>
      <c r="I178">
        <f t="shared" si="11"/>
        <v>0</v>
      </c>
      <c r="J178" t="s">
        <v>273</v>
      </c>
      <c r="K178" t="s">
        <v>273</v>
      </c>
      <c r="L178" t="s">
        <v>626</v>
      </c>
      <c r="M178" t="s">
        <v>670</v>
      </c>
    </row>
    <row r="179" spans="1:13" hidden="1" x14ac:dyDescent="0.35">
      <c r="A179">
        <v>2010</v>
      </c>
      <c r="B179" t="s">
        <v>137</v>
      </c>
      <c r="C179" t="s">
        <v>141</v>
      </c>
      <c r="D179" t="s">
        <v>88</v>
      </c>
      <c r="E179" t="s">
        <v>145</v>
      </c>
      <c r="F179">
        <f t="shared" si="8"/>
        <v>0</v>
      </c>
      <c r="G179">
        <f t="shared" si="9"/>
        <v>0</v>
      </c>
      <c r="H179">
        <f t="shared" si="10"/>
        <v>0</v>
      </c>
      <c r="I179">
        <f t="shared" si="11"/>
        <v>0</v>
      </c>
      <c r="J179" t="s">
        <v>273</v>
      </c>
      <c r="K179" t="s">
        <v>273</v>
      </c>
      <c r="L179" t="s">
        <v>626</v>
      </c>
      <c r="M179" t="s">
        <v>670</v>
      </c>
    </row>
    <row r="180" spans="1:13" hidden="1" x14ac:dyDescent="0.35">
      <c r="A180">
        <v>2009</v>
      </c>
      <c r="B180" t="s">
        <v>137</v>
      </c>
      <c r="C180" t="s">
        <v>141</v>
      </c>
      <c r="D180" t="s">
        <v>88</v>
      </c>
      <c r="E180" t="s">
        <v>145</v>
      </c>
      <c r="F180">
        <f t="shared" si="8"/>
        <v>0</v>
      </c>
      <c r="G180">
        <f t="shared" si="9"/>
        <v>0</v>
      </c>
      <c r="H180">
        <f t="shared" si="10"/>
        <v>0</v>
      </c>
      <c r="I180">
        <f t="shared" si="11"/>
        <v>0</v>
      </c>
      <c r="J180" t="s">
        <v>273</v>
      </c>
      <c r="K180" t="s">
        <v>273</v>
      </c>
      <c r="L180" t="s">
        <v>630</v>
      </c>
    </row>
    <row r="181" spans="1:13" hidden="1" x14ac:dyDescent="0.35">
      <c r="A181">
        <v>2008</v>
      </c>
      <c r="B181" t="s">
        <v>137</v>
      </c>
      <c r="C181" t="s">
        <v>141</v>
      </c>
      <c r="D181" t="s">
        <v>88</v>
      </c>
      <c r="E181" t="s">
        <v>145</v>
      </c>
      <c r="F181">
        <f t="shared" si="8"/>
        <v>0</v>
      </c>
      <c r="G181">
        <f t="shared" si="9"/>
        <v>0</v>
      </c>
      <c r="H181">
        <f t="shared" si="10"/>
        <v>1</v>
      </c>
      <c r="I181">
        <f t="shared" si="11"/>
        <v>0</v>
      </c>
      <c r="J181" t="s">
        <v>273</v>
      </c>
      <c r="K181" t="s">
        <v>273</v>
      </c>
      <c r="L181" t="s">
        <v>630</v>
      </c>
    </row>
    <row r="182" spans="1:13" hidden="1" x14ac:dyDescent="0.35">
      <c r="A182">
        <v>2007</v>
      </c>
      <c r="B182" t="s">
        <v>137</v>
      </c>
      <c r="C182" t="s">
        <v>141</v>
      </c>
      <c r="D182" t="s">
        <v>88</v>
      </c>
      <c r="E182" t="s">
        <v>163</v>
      </c>
      <c r="F182">
        <f t="shared" si="8"/>
        <v>0</v>
      </c>
      <c r="G182">
        <f t="shared" si="9"/>
        <v>0</v>
      </c>
      <c r="H182">
        <f t="shared" si="10"/>
        <v>0</v>
      </c>
      <c r="I182">
        <f t="shared" si="11"/>
        <v>0</v>
      </c>
      <c r="J182" t="s">
        <v>273</v>
      </c>
      <c r="K182" t="s">
        <v>273</v>
      </c>
      <c r="L182" t="s">
        <v>630</v>
      </c>
    </row>
    <row r="183" spans="1:13" hidden="1" x14ac:dyDescent="0.35">
      <c r="A183">
        <v>2006</v>
      </c>
      <c r="B183" t="s">
        <v>137</v>
      </c>
      <c r="C183" t="s">
        <v>141</v>
      </c>
      <c r="D183" t="s">
        <v>88</v>
      </c>
      <c r="E183" t="s">
        <v>163</v>
      </c>
      <c r="F183">
        <f t="shared" si="8"/>
        <v>0</v>
      </c>
      <c r="G183">
        <f t="shared" si="9"/>
        <v>0</v>
      </c>
      <c r="H183">
        <f t="shared" si="10"/>
        <v>0</v>
      </c>
      <c r="I183">
        <f t="shared" si="11"/>
        <v>0</v>
      </c>
      <c r="J183" t="s">
        <v>273</v>
      </c>
      <c r="K183" t="s">
        <v>273</v>
      </c>
      <c r="L183" t="s">
        <v>630</v>
      </c>
    </row>
    <row r="184" spans="1:13" hidden="1" x14ac:dyDescent="0.35">
      <c r="A184">
        <v>2005</v>
      </c>
      <c r="B184" t="s">
        <v>137</v>
      </c>
      <c r="C184" t="s">
        <v>141</v>
      </c>
      <c r="D184" t="s">
        <v>88</v>
      </c>
      <c r="E184" t="s">
        <v>163</v>
      </c>
      <c r="F184">
        <f t="shared" si="8"/>
        <v>0</v>
      </c>
      <c r="G184">
        <f t="shared" si="9"/>
        <v>0</v>
      </c>
      <c r="H184">
        <f t="shared" si="10"/>
        <v>1</v>
      </c>
      <c r="I184">
        <f t="shared" si="11"/>
        <v>0</v>
      </c>
      <c r="J184" t="s">
        <v>273</v>
      </c>
      <c r="K184" t="s">
        <v>273</v>
      </c>
      <c r="L184" t="s">
        <v>630</v>
      </c>
    </row>
    <row r="185" spans="1:13" hidden="1" x14ac:dyDescent="0.35">
      <c r="A185">
        <v>2004</v>
      </c>
      <c r="B185" t="s">
        <v>137</v>
      </c>
      <c r="C185" t="s">
        <v>141</v>
      </c>
      <c r="D185" t="s">
        <v>88</v>
      </c>
      <c r="E185" t="s">
        <v>10</v>
      </c>
      <c r="F185">
        <f t="shared" si="8"/>
        <v>0</v>
      </c>
      <c r="G185">
        <f t="shared" si="9"/>
        <v>0</v>
      </c>
      <c r="H185">
        <f t="shared" si="10"/>
        <v>0</v>
      </c>
      <c r="I185">
        <f t="shared" si="11"/>
        <v>0</v>
      </c>
      <c r="J185" t="s">
        <v>273</v>
      </c>
      <c r="K185" t="s">
        <v>273</v>
      </c>
      <c r="L185" t="s">
        <v>630</v>
      </c>
    </row>
    <row r="186" spans="1:13" hidden="1" x14ac:dyDescent="0.35">
      <c r="A186">
        <v>2003</v>
      </c>
      <c r="B186" t="s">
        <v>137</v>
      </c>
      <c r="C186" t="s">
        <v>141</v>
      </c>
      <c r="D186" t="s">
        <v>88</v>
      </c>
      <c r="E186" t="s">
        <v>10</v>
      </c>
      <c r="F186">
        <f t="shared" si="8"/>
        <v>1</v>
      </c>
      <c r="G186">
        <f t="shared" si="9"/>
        <v>0</v>
      </c>
      <c r="H186">
        <f t="shared" si="10"/>
        <v>1</v>
      </c>
      <c r="I186">
        <f t="shared" si="11"/>
        <v>0</v>
      </c>
      <c r="J186" t="s">
        <v>273</v>
      </c>
      <c r="K186" t="s">
        <v>273</v>
      </c>
      <c r="L186" t="s">
        <v>630</v>
      </c>
    </row>
    <row r="187" spans="1:13" hidden="1" x14ac:dyDescent="0.35">
      <c r="A187">
        <v>2002</v>
      </c>
      <c r="B187" t="s">
        <v>137</v>
      </c>
      <c r="C187" t="s">
        <v>63</v>
      </c>
      <c r="D187" t="s">
        <v>88</v>
      </c>
      <c r="E187" t="s">
        <v>439</v>
      </c>
      <c r="F187">
        <f t="shared" si="8"/>
        <v>0</v>
      </c>
      <c r="G187">
        <f t="shared" si="9"/>
        <v>0</v>
      </c>
      <c r="H187">
        <f t="shared" si="10"/>
        <v>0</v>
      </c>
      <c r="I187">
        <f t="shared" si="11"/>
        <v>0</v>
      </c>
      <c r="J187" t="s">
        <v>273</v>
      </c>
      <c r="K187" t="s">
        <v>273</v>
      </c>
      <c r="L187" t="s">
        <v>630</v>
      </c>
    </row>
    <row r="188" spans="1:13" hidden="1" x14ac:dyDescent="0.35">
      <c r="A188">
        <v>2001</v>
      </c>
      <c r="B188" t="s">
        <v>137</v>
      </c>
      <c r="C188" t="s">
        <v>63</v>
      </c>
      <c r="D188" t="s">
        <v>88</v>
      </c>
      <c r="E188" t="s">
        <v>439</v>
      </c>
      <c r="F188">
        <f t="shared" si="8"/>
        <v>0</v>
      </c>
      <c r="G188">
        <f t="shared" si="9"/>
        <v>1</v>
      </c>
      <c r="H188">
        <f t="shared" si="10"/>
        <v>1</v>
      </c>
      <c r="I188">
        <f t="shared" si="11"/>
        <v>0</v>
      </c>
      <c r="J188" t="s">
        <v>273</v>
      </c>
      <c r="K188" t="s">
        <v>273</v>
      </c>
      <c r="L188" t="s">
        <v>630</v>
      </c>
    </row>
    <row r="189" spans="1:13" hidden="1" x14ac:dyDescent="0.35">
      <c r="A189">
        <v>2000</v>
      </c>
      <c r="B189" t="s">
        <v>137</v>
      </c>
      <c r="C189" t="s">
        <v>63</v>
      </c>
      <c r="D189" t="s">
        <v>440</v>
      </c>
      <c r="E189" t="s">
        <v>63</v>
      </c>
      <c r="F189">
        <f t="shared" si="8"/>
        <v>1</v>
      </c>
      <c r="G189">
        <f t="shared" si="9"/>
        <v>0</v>
      </c>
      <c r="H189">
        <f t="shared" si="10"/>
        <v>0</v>
      </c>
      <c r="I189">
        <f t="shared" si="11"/>
        <v>0</v>
      </c>
      <c r="J189" t="s">
        <v>273</v>
      </c>
      <c r="K189" t="s">
        <v>273</v>
      </c>
    </row>
    <row r="190" spans="1:13" hidden="1" x14ac:dyDescent="0.35">
      <c r="A190">
        <v>1999</v>
      </c>
      <c r="B190" t="s">
        <v>137</v>
      </c>
      <c r="C190" t="s">
        <v>441</v>
      </c>
      <c r="D190" t="s">
        <v>440</v>
      </c>
      <c r="E190" t="s">
        <v>63</v>
      </c>
      <c r="F190">
        <f t="shared" si="8"/>
        <v>1</v>
      </c>
      <c r="G190">
        <f t="shared" si="9"/>
        <v>1</v>
      </c>
      <c r="H190">
        <f t="shared" si="10"/>
        <v>1</v>
      </c>
      <c r="I190">
        <f t="shared" si="11"/>
        <v>1</v>
      </c>
      <c r="J190" t="s">
        <v>273</v>
      </c>
      <c r="K190" t="s">
        <v>273</v>
      </c>
    </row>
    <row r="191" spans="1:13" x14ac:dyDescent="0.35">
      <c r="A191">
        <v>2025</v>
      </c>
      <c r="B191" t="s">
        <v>103</v>
      </c>
      <c r="C191" t="s">
        <v>104</v>
      </c>
      <c r="D191" t="s">
        <v>104</v>
      </c>
      <c r="E191" t="s">
        <v>472</v>
      </c>
      <c r="F191">
        <f t="shared" si="8"/>
        <v>0</v>
      </c>
      <c r="G191">
        <f t="shared" si="9"/>
        <v>0</v>
      </c>
      <c r="H191">
        <f t="shared" si="10"/>
        <v>0</v>
      </c>
      <c r="I191">
        <f t="shared" si="11"/>
        <v>0</v>
      </c>
      <c r="J191" t="s">
        <v>116</v>
      </c>
      <c r="K191" t="s">
        <v>442</v>
      </c>
      <c r="L191" t="s">
        <v>664</v>
      </c>
      <c r="M191" t="s">
        <v>669</v>
      </c>
    </row>
    <row r="192" spans="1:13" x14ac:dyDescent="0.35">
      <c r="A192">
        <v>2024</v>
      </c>
      <c r="B192" t="s">
        <v>103</v>
      </c>
      <c r="C192" t="s">
        <v>104</v>
      </c>
      <c r="D192" t="s">
        <v>104</v>
      </c>
      <c r="E192" t="s">
        <v>472</v>
      </c>
      <c r="F192">
        <f t="shared" si="8"/>
        <v>0</v>
      </c>
      <c r="G192">
        <f t="shared" si="9"/>
        <v>0</v>
      </c>
      <c r="H192">
        <f t="shared" si="10"/>
        <v>0</v>
      </c>
      <c r="I192">
        <f t="shared" si="11"/>
        <v>0</v>
      </c>
      <c r="J192" t="s">
        <v>116</v>
      </c>
      <c r="K192" t="s">
        <v>442</v>
      </c>
      <c r="L192" t="s">
        <v>664</v>
      </c>
      <c r="M192" t="s">
        <v>669</v>
      </c>
    </row>
    <row r="193" spans="1:13" x14ac:dyDescent="0.35">
      <c r="A193">
        <v>2023</v>
      </c>
      <c r="B193" t="s">
        <v>103</v>
      </c>
      <c r="C193" t="s">
        <v>104</v>
      </c>
      <c r="D193" t="s">
        <v>104</v>
      </c>
      <c r="E193" t="s">
        <v>472</v>
      </c>
      <c r="F193">
        <f t="shared" si="8"/>
        <v>0</v>
      </c>
      <c r="G193">
        <f t="shared" si="9"/>
        <v>0</v>
      </c>
      <c r="H193">
        <f t="shared" si="10"/>
        <v>1</v>
      </c>
      <c r="I193">
        <f t="shared" si="11"/>
        <v>0</v>
      </c>
      <c r="J193" t="s">
        <v>116</v>
      </c>
      <c r="K193" t="s">
        <v>442</v>
      </c>
      <c r="L193" t="s">
        <v>664</v>
      </c>
      <c r="M193" t="s">
        <v>669</v>
      </c>
    </row>
    <row r="194" spans="1:13" x14ac:dyDescent="0.35">
      <c r="A194">
        <v>2022</v>
      </c>
      <c r="B194" t="s">
        <v>103</v>
      </c>
      <c r="C194" t="s">
        <v>104</v>
      </c>
      <c r="D194" t="s">
        <v>104</v>
      </c>
      <c r="E194" t="s">
        <v>105</v>
      </c>
      <c r="F194">
        <f t="shared" ref="F194:F257" si="12">IF(C194=C195,0,1)</f>
        <v>0</v>
      </c>
      <c r="G194">
        <f t="shared" ref="G194:G257" si="13">IF(D194=D195,0,1)</f>
        <v>0</v>
      </c>
      <c r="H194">
        <f t="shared" ref="H194:H257" si="14">IF(E194=E195,0,1)</f>
        <v>0</v>
      </c>
      <c r="I194">
        <f t="shared" ref="I194:I257" si="15">IF(J194=J195,0,1)</f>
        <v>0</v>
      </c>
      <c r="J194" t="s">
        <v>116</v>
      </c>
      <c r="K194" t="s">
        <v>442</v>
      </c>
      <c r="L194" t="s">
        <v>664</v>
      </c>
      <c r="M194" t="s">
        <v>667</v>
      </c>
    </row>
    <row r="195" spans="1:13" x14ac:dyDescent="0.35">
      <c r="A195">
        <v>2021</v>
      </c>
      <c r="B195" t="s">
        <v>103</v>
      </c>
      <c r="C195" t="s">
        <v>104</v>
      </c>
      <c r="D195" t="s">
        <v>104</v>
      </c>
      <c r="E195" t="s">
        <v>105</v>
      </c>
      <c r="F195">
        <f t="shared" si="12"/>
        <v>0</v>
      </c>
      <c r="G195">
        <f t="shared" si="13"/>
        <v>0</v>
      </c>
      <c r="H195">
        <f t="shared" si="14"/>
        <v>0</v>
      </c>
      <c r="I195">
        <f t="shared" si="15"/>
        <v>0</v>
      </c>
      <c r="J195" t="s">
        <v>116</v>
      </c>
      <c r="K195" t="s">
        <v>442</v>
      </c>
      <c r="L195" t="s">
        <v>664</v>
      </c>
      <c r="M195" t="s">
        <v>667</v>
      </c>
    </row>
    <row r="196" spans="1:13" x14ac:dyDescent="0.35">
      <c r="A196">
        <v>2020</v>
      </c>
      <c r="B196" t="s">
        <v>103</v>
      </c>
      <c r="C196" t="s">
        <v>104</v>
      </c>
      <c r="D196" t="s">
        <v>104</v>
      </c>
      <c r="E196" t="s">
        <v>105</v>
      </c>
      <c r="F196">
        <f t="shared" si="12"/>
        <v>1</v>
      </c>
      <c r="G196">
        <f t="shared" si="13"/>
        <v>1</v>
      </c>
      <c r="H196">
        <f t="shared" si="14"/>
        <v>1</v>
      </c>
      <c r="I196">
        <f t="shared" si="15"/>
        <v>1</v>
      </c>
      <c r="J196" t="s">
        <v>116</v>
      </c>
      <c r="K196" t="s">
        <v>442</v>
      </c>
      <c r="L196" t="s">
        <v>664</v>
      </c>
      <c r="M196" t="s">
        <v>667</v>
      </c>
    </row>
    <row r="197" spans="1:13" x14ac:dyDescent="0.35">
      <c r="A197">
        <v>2019</v>
      </c>
      <c r="B197" t="s">
        <v>103</v>
      </c>
      <c r="C197" t="s">
        <v>106</v>
      </c>
      <c r="D197" t="s">
        <v>106</v>
      </c>
      <c r="E197" t="s">
        <v>108</v>
      </c>
      <c r="F197">
        <f t="shared" si="12"/>
        <v>1</v>
      </c>
      <c r="G197">
        <f t="shared" si="13"/>
        <v>1</v>
      </c>
      <c r="H197">
        <f t="shared" si="14"/>
        <v>1</v>
      </c>
      <c r="I197">
        <f t="shared" si="15"/>
        <v>0</v>
      </c>
      <c r="J197" t="s">
        <v>117</v>
      </c>
      <c r="K197" t="s">
        <v>442</v>
      </c>
      <c r="L197" t="s">
        <v>622</v>
      </c>
      <c r="M197" t="s">
        <v>667</v>
      </c>
    </row>
    <row r="198" spans="1:13" x14ac:dyDescent="0.35">
      <c r="A198">
        <v>2018</v>
      </c>
      <c r="B198" t="s">
        <v>103</v>
      </c>
      <c r="C198" t="s">
        <v>109</v>
      </c>
      <c r="D198" t="s">
        <v>102</v>
      </c>
      <c r="E198" t="s">
        <v>50</v>
      </c>
      <c r="F198">
        <f t="shared" si="12"/>
        <v>0</v>
      </c>
      <c r="G198">
        <f t="shared" si="13"/>
        <v>1</v>
      </c>
      <c r="H198">
        <f t="shared" si="14"/>
        <v>0</v>
      </c>
      <c r="I198">
        <f t="shared" si="15"/>
        <v>1</v>
      </c>
      <c r="J198" t="s">
        <v>117</v>
      </c>
      <c r="K198" t="s">
        <v>442</v>
      </c>
      <c r="L198" t="s">
        <v>626</v>
      </c>
      <c r="M198" t="s">
        <v>669</v>
      </c>
    </row>
    <row r="199" spans="1:13" x14ac:dyDescent="0.35">
      <c r="A199">
        <v>2017</v>
      </c>
      <c r="B199" t="s">
        <v>103</v>
      </c>
      <c r="C199" t="s">
        <v>109</v>
      </c>
      <c r="D199" t="s">
        <v>109</v>
      </c>
      <c r="E199" t="s">
        <v>50</v>
      </c>
      <c r="F199">
        <f t="shared" si="12"/>
        <v>0</v>
      </c>
      <c r="G199">
        <f t="shared" si="13"/>
        <v>0</v>
      </c>
      <c r="H199">
        <f t="shared" si="14"/>
        <v>1</v>
      </c>
      <c r="I199">
        <f t="shared" si="15"/>
        <v>0</v>
      </c>
      <c r="J199" t="s">
        <v>123</v>
      </c>
      <c r="K199" t="s">
        <v>442</v>
      </c>
      <c r="L199" t="s">
        <v>626</v>
      </c>
      <c r="M199" t="s">
        <v>669</v>
      </c>
    </row>
    <row r="200" spans="1:13" x14ac:dyDescent="0.35">
      <c r="A200">
        <v>2016</v>
      </c>
      <c r="B200" t="s">
        <v>103</v>
      </c>
      <c r="C200" t="s">
        <v>109</v>
      </c>
      <c r="D200" t="s">
        <v>109</v>
      </c>
      <c r="E200" t="s">
        <v>66</v>
      </c>
      <c r="F200">
        <f t="shared" si="12"/>
        <v>1</v>
      </c>
      <c r="G200">
        <f t="shared" si="13"/>
        <v>1</v>
      </c>
      <c r="H200">
        <f t="shared" si="14"/>
        <v>1</v>
      </c>
      <c r="I200">
        <f t="shared" si="15"/>
        <v>1</v>
      </c>
      <c r="J200" t="s">
        <v>123</v>
      </c>
      <c r="K200" t="s">
        <v>442</v>
      </c>
      <c r="L200" t="s">
        <v>626</v>
      </c>
      <c r="M200" t="s">
        <v>671</v>
      </c>
    </row>
    <row r="201" spans="1:13" x14ac:dyDescent="0.35">
      <c r="A201">
        <v>2015</v>
      </c>
      <c r="B201" t="s">
        <v>103</v>
      </c>
      <c r="C201" t="s">
        <v>17</v>
      </c>
      <c r="D201" t="s">
        <v>83</v>
      </c>
      <c r="E201" t="s">
        <v>110</v>
      </c>
      <c r="F201">
        <f t="shared" si="12"/>
        <v>0</v>
      </c>
      <c r="G201">
        <f t="shared" si="13"/>
        <v>1</v>
      </c>
      <c r="H201">
        <f t="shared" si="14"/>
        <v>0</v>
      </c>
      <c r="I201">
        <f t="shared" si="15"/>
        <v>0</v>
      </c>
      <c r="J201" t="s">
        <v>122</v>
      </c>
      <c r="K201" t="s">
        <v>442</v>
      </c>
      <c r="L201" t="s">
        <v>629</v>
      </c>
      <c r="M201" t="s">
        <v>670</v>
      </c>
    </row>
    <row r="202" spans="1:13" x14ac:dyDescent="0.35">
      <c r="A202">
        <v>2014</v>
      </c>
      <c r="B202" t="s">
        <v>103</v>
      </c>
      <c r="C202" t="s">
        <v>17</v>
      </c>
      <c r="D202" t="s">
        <v>111</v>
      </c>
      <c r="E202" t="s">
        <v>110</v>
      </c>
      <c r="F202">
        <f t="shared" si="12"/>
        <v>1</v>
      </c>
      <c r="G202">
        <f t="shared" si="13"/>
        <v>1</v>
      </c>
      <c r="H202">
        <f t="shared" si="14"/>
        <v>1</v>
      </c>
      <c r="I202">
        <f t="shared" si="15"/>
        <v>1</v>
      </c>
      <c r="J202" t="s">
        <v>122</v>
      </c>
      <c r="K202" t="s">
        <v>442</v>
      </c>
      <c r="L202" t="s">
        <v>627</v>
      </c>
      <c r="M202" t="s">
        <v>670</v>
      </c>
    </row>
    <row r="203" spans="1:13" x14ac:dyDescent="0.35">
      <c r="A203">
        <v>2013</v>
      </c>
      <c r="B203" t="s">
        <v>103</v>
      </c>
      <c r="C203" t="s">
        <v>251</v>
      </c>
      <c r="D203" t="s">
        <v>112</v>
      </c>
      <c r="E203" t="s">
        <v>66</v>
      </c>
      <c r="F203">
        <f t="shared" si="12"/>
        <v>1</v>
      </c>
      <c r="G203">
        <f t="shared" si="13"/>
        <v>1</v>
      </c>
      <c r="H203">
        <f t="shared" si="14"/>
        <v>1</v>
      </c>
      <c r="I203">
        <f t="shared" si="15"/>
        <v>1</v>
      </c>
      <c r="J203" t="s">
        <v>121</v>
      </c>
      <c r="K203" t="s">
        <v>442</v>
      </c>
      <c r="L203" t="s">
        <v>623</v>
      </c>
      <c r="M203" t="s">
        <v>671</v>
      </c>
    </row>
    <row r="204" spans="1:13" x14ac:dyDescent="0.35">
      <c r="A204">
        <v>2012</v>
      </c>
      <c r="B204" t="s">
        <v>103</v>
      </c>
      <c r="C204" t="s">
        <v>115</v>
      </c>
      <c r="D204" t="s">
        <v>113</v>
      </c>
      <c r="E204" t="s">
        <v>114</v>
      </c>
      <c r="F204">
        <f t="shared" si="12"/>
        <v>0</v>
      </c>
      <c r="G204">
        <f t="shared" si="13"/>
        <v>1</v>
      </c>
      <c r="H204">
        <f t="shared" si="14"/>
        <v>0</v>
      </c>
      <c r="I204">
        <f t="shared" si="15"/>
        <v>0</v>
      </c>
      <c r="J204" t="s">
        <v>120</v>
      </c>
      <c r="K204" t="s">
        <v>442</v>
      </c>
      <c r="L204" t="s">
        <v>631</v>
      </c>
      <c r="M204" t="s">
        <v>665</v>
      </c>
    </row>
    <row r="205" spans="1:13" x14ac:dyDescent="0.35">
      <c r="A205">
        <v>2011</v>
      </c>
      <c r="B205" t="s">
        <v>103</v>
      </c>
      <c r="C205" t="s">
        <v>115</v>
      </c>
      <c r="D205" t="s">
        <v>115</v>
      </c>
      <c r="E205" t="s">
        <v>114</v>
      </c>
      <c r="F205">
        <f t="shared" si="12"/>
        <v>1</v>
      </c>
      <c r="G205">
        <f t="shared" si="13"/>
        <v>1</v>
      </c>
      <c r="H205">
        <f t="shared" si="14"/>
        <v>1</v>
      </c>
      <c r="I205">
        <f t="shared" si="15"/>
        <v>0</v>
      </c>
      <c r="J205" t="s">
        <v>120</v>
      </c>
      <c r="K205" t="s">
        <v>443</v>
      </c>
      <c r="L205" t="s">
        <v>631</v>
      </c>
      <c r="M205" t="s">
        <v>665</v>
      </c>
    </row>
    <row r="206" spans="1:13" hidden="1" x14ac:dyDescent="0.35">
      <c r="A206">
        <v>2010</v>
      </c>
      <c r="B206" t="s">
        <v>103</v>
      </c>
      <c r="C206" t="s">
        <v>118</v>
      </c>
      <c r="D206" t="s">
        <v>9</v>
      </c>
      <c r="E206" t="s">
        <v>119</v>
      </c>
      <c r="F206">
        <f t="shared" si="12"/>
        <v>0</v>
      </c>
      <c r="G206">
        <f t="shared" si="13"/>
        <v>0</v>
      </c>
      <c r="H206">
        <f t="shared" si="14"/>
        <v>0</v>
      </c>
      <c r="I206">
        <f t="shared" si="15"/>
        <v>1</v>
      </c>
      <c r="J206" t="s">
        <v>120</v>
      </c>
      <c r="K206" t="s">
        <v>443</v>
      </c>
      <c r="L206" t="s">
        <v>629</v>
      </c>
      <c r="M206" t="s">
        <v>670</v>
      </c>
    </row>
    <row r="207" spans="1:13" hidden="1" x14ac:dyDescent="0.35">
      <c r="A207">
        <v>2009</v>
      </c>
      <c r="B207" t="s">
        <v>103</v>
      </c>
      <c r="C207" t="s">
        <v>118</v>
      </c>
      <c r="D207" t="s">
        <v>9</v>
      </c>
      <c r="E207" t="s">
        <v>119</v>
      </c>
      <c r="F207">
        <f t="shared" si="12"/>
        <v>1</v>
      </c>
      <c r="G207">
        <f t="shared" si="13"/>
        <v>1</v>
      </c>
      <c r="H207">
        <f t="shared" si="14"/>
        <v>1</v>
      </c>
      <c r="I207">
        <f t="shared" si="15"/>
        <v>1</v>
      </c>
      <c r="J207" t="s">
        <v>445</v>
      </c>
      <c r="K207" t="s">
        <v>443</v>
      </c>
      <c r="L207" t="s">
        <v>629</v>
      </c>
    </row>
    <row r="208" spans="1:13" hidden="1" x14ac:dyDescent="0.35">
      <c r="A208">
        <v>2008</v>
      </c>
      <c r="B208" t="s">
        <v>103</v>
      </c>
      <c r="C208" t="s">
        <v>94</v>
      </c>
      <c r="D208" t="s">
        <v>251</v>
      </c>
      <c r="E208" t="s">
        <v>89</v>
      </c>
      <c r="F208">
        <f t="shared" si="12"/>
        <v>0</v>
      </c>
      <c r="G208">
        <f t="shared" si="13"/>
        <v>0</v>
      </c>
      <c r="H208">
        <f t="shared" si="14"/>
        <v>1</v>
      </c>
      <c r="I208">
        <f t="shared" si="15"/>
        <v>0</v>
      </c>
      <c r="J208" t="s">
        <v>446</v>
      </c>
      <c r="K208" t="s">
        <v>443</v>
      </c>
    </row>
    <row r="209" spans="1:13" hidden="1" x14ac:dyDescent="0.35">
      <c r="A209">
        <v>2007</v>
      </c>
      <c r="B209" t="s">
        <v>103</v>
      </c>
      <c r="C209" t="s">
        <v>94</v>
      </c>
      <c r="D209" t="s">
        <v>251</v>
      </c>
      <c r="E209" t="s">
        <v>447</v>
      </c>
      <c r="F209">
        <f t="shared" si="12"/>
        <v>0</v>
      </c>
      <c r="G209">
        <f t="shared" si="13"/>
        <v>1</v>
      </c>
      <c r="H209">
        <f t="shared" si="14"/>
        <v>0</v>
      </c>
      <c r="I209">
        <f t="shared" si="15"/>
        <v>0</v>
      </c>
      <c r="J209" t="s">
        <v>446</v>
      </c>
      <c r="K209" t="s">
        <v>443</v>
      </c>
    </row>
    <row r="210" spans="1:13" hidden="1" x14ac:dyDescent="0.35">
      <c r="A210">
        <v>2006</v>
      </c>
      <c r="B210" t="s">
        <v>103</v>
      </c>
      <c r="C210" t="s">
        <v>94</v>
      </c>
      <c r="D210" t="s">
        <v>448</v>
      </c>
      <c r="E210" t="s">
        <v>447</v>
      </c>
      <c r="F210">
        <f t="shared" si="12"/>
        <v>0</v>
      </c>
      <c r="G210">
        <f t="shared" si="13"/>
        <v>0</v>
      </c>
      <c r="H210">
        <f t="shared" si="14"/>
        <v>0</v>
      </c>
      <c r="I210">
        <f t="shared" si="15"/>
        <v>0</v>
      </c>
      <c r="J210" t="s">
        <v>446</v>
      </c>
      <c r="K210" t="s">
        <v>443</v>
      </c>
      <c r="L210" t="s">
        <v>623</v>
      </c>
    </row>
    <row r="211" spans="1:13" hidden="1" x14ac:dyDescent="0.35">
      <c r="A211">
        <v>2005</v>
      </c>
      <c r="B211" t="s">
        <v>103</v>
      </c>
      <c r="C211" t="s">
        <v>94</v>
      </c>
      <c r="D211" t="s">
        <v>448</v>
      </c>
      <c r="E211" t="s">
        <v>447</v>
      </c>
      <c r="F211">
        <f t="shared" si="12"/>
        <v>1</v>
      </c>
      <c r="G211">
        <f t="shared" si="13"/>
        <v>1</v>
      </c>
      <c r="H211">
        <f t="shared" si="14"/>
        <v>1</v>
      </c>
      <c r="I211">
        <f t="shared" si="15"/>
        <v>1</v>
      </c>
      <c r="J211" t="s">
        <v>446</v>
      </c>
      <c r="K211" t="s">
        <v>443</v>
      </c>
      <c r="L211" t="s">
        <v>623</v>
      </c>
    </row>
    <row r="212" spans="1:13" hidden="1" x14ac:dyDescent="0.35">
      <c r="A212">
        <v>2004</v>
      </c>
      <c r="B212" t="s">
        <v>103</v>
      </c>
      <c r="C212" t="s">
        <v>450</v>
      </c>
      <c r="D212" t="s">
        <v>251</v>
      </c>
      <c r="E212" t="s">
        <v>449</v>
      </c>
      <c r="F212">
        <f t="shared" si="12"/>
        <v>0</v>
      </c>
      <c r="G212">
        <f t="shared" si="13"/>
        <v>1</v>
      </c>
      <c r="H212">
        <f t="shared" si="14"/>
        <v>0</v>
      </c>
      <c r="I212">
        <f t="shared" si="15"/>
        <v>0</v>
      </c>
      <c r="J212" t="s">
        <v>450</v>
      </c>
      <c r="K212" t="s">
        <v>443</v>
      </c>
    </row>
    <row r="213" spans="1:13" hidden="1" x14ac:dyDescent="0.35">
      <c r="A213">
        <v>2003</v>
      </c>
      <c r="B213" t="s">
        <v>103</v>
      </c>
      <c r="C213" t="s">
        <v>450</v>
      </c>
      <c r="D213" t="s">
        <v>78</v>
      </c>
      <c r="E213" t="s">
        <v>449</v>
      </c>
      <c r="F213">
        <f t="shared" si="12"/>
        <v>0</v>
      </c>
      <c r="G213">
        <f t="shared" si="13"/>
        <v>0</v>
      </c>
      <c r="H213">
        <f t="shared" si="14"/>
        <v>1</v>
      </c>
      <c r="I213">
        <f t="shared" si="15"/>
        <v>0</v>
      </c>
      <c r="J213" t="s">
        <v>450</v>
      </c>
      <c r="K213" t="s">
        <v>443</v>
      </c>
      <c r="L213" t="s">
        <v>622</v>
      </c>
    </row>
    <row r="214" spans="1:13" hidden="1" x14ac:dyDescent="0.35">
      <c r="A214">
        <v>2002</v>
      </c>
      <c r="B214" t="s">
        <v>103</v>
      </c>
      <c r="C214" t="s">
        <v>450</v>
      </c>
      <c r="D214" t="s">
        <v>78</v>
      </c>
      <c r="E214" t="s">
        <v>451</v>
      </c>
      <c r="F214">
        <f t="shared" si="12"/>
        <v>0</v>
      </c>
      <c r="G214">
        <f t="shared" si="13"/>
        <v>0</v>
      </c>
      <c r="H214">
        <f t="shared" si="14"/>
        <v>0</v>
      </c>
      <c r="I214">
        <f t="shared" si="15"/>
        <v>1</v>
      </c>
      <c r="J214" t="s">
        <v>450</v>
      </c>
      <c r="K214" t="s">
        <v>443</v>
      </c>
      <c r="L214" t="s">
        <v>622</v>
      </c>
    </row>
    <row r="215" spans="1:13" hidden="1" x14ac:dyDescent="0.35">
      <c r="A215">
        <v>2001</v>
      </c>
      <c r="B215" t="s">
        <v>103</v>
      </c>
      <c r="C215" t="s">
        <v>450</v>
      </c>
      <c r="D215" t="s">
        <v>78</v>
      </c>
      <c r="E215" t="s">
        <v>451</v>
      </c>
      <c r="F215">
        <f t="shared" si="12"/>
        <v>1</v>
      </c>
      <c r="G215">
        <f t="shared" si="13"/>
        <v>1</v>
      </c>
      <c r="H215">
        <f t="shared" si="14"/>
        <v>1</v>
      </c>
      <c r="I215">
        <f t="shared" si="15"/>
        <v>0</v>
      </c>
      <c r="J215" t="s">
        <v>452</v>
      </c>
      <c r="K215" t="s">
        <v>444</v>
      </c>
      <c r="L215" t="s">
        <v>622</v>
      </c>
    </row>
    <row r="216" spans="1:13" hidden="1" x14ac:dyDescent="0.35">
      <c r="A216">
        <v>2000</v>
      </c>
      <c r="B216" t="s">
        <v>103</v>
      </c>
      <c r="C216" t="s">
        <v>69</v>
      </c>
      <c r="D216" t="s">
        <v>453</v>
      </c>
      <c r="E216" t="s">
        <v>94</v>
      </c>
      <c r="F216">
        <f t="shared" si="12"/>
        <v>0</v>
      </c>
      <c r="G216">
        <f t="shared" si="13"/>
        <v>1</v>
      </c>
      <c r="H216">
        <f t="shared" si="14"/>
        <v>1</v>
      </c>
      <c r="I216">
        <f t="shared" si="15"/>
        <v>0</v>
      </c>
      <c r="J216" t="s">
        <v>452</v>
      </c>
      <c r="K216" t="s">
        <v>444</v>
      </c>
    </row>
    <row r="217" spans="1:13" hidden="1" x14ac:dyDescent="0.35">
      <c r="A217">
        <v>1999</v>
      </c>
      <c r="B217" t="s">
        <v>103</v>
      </c>
      <c r="C217" t="s">
        <v>69</v>
      </c>
      <c r="D217" t="s">
        <v>69</v>
      </c>
      <c r="E217" t="s">
        <v>454</v>
      </c>
      <c r="F217">
        <f t="shared" si="12"/>
        <v>1</v>
      </c>
      <c r="G217">
        <f t="shared" si="13"/>
        <v>1</v>
      </c>
      <c r="H217">
        <f t="shared" si="14"/>
        <v>1</v>
      </c>
      <c r="I217">
        <f t="shared" si="15"/>
        <v>1</v>
      </c>
      <c r="J217" t="s">
        <v>452</v>
      </c>
      <c r="K217" t="s">
        <v>444</v>
      </c>
      <c r="L217" t="s">
        <v>623</v>
      </c>
    </row>
    <row r="218" spans="1:13" x14ac:dyDescent="0.35">
      <c r="A218">
        <v>2025</v>
      </c>
      <c r="B218" t="s">
        <v>178</v>
      </c>
      <c r="C218" t="s">
        <v>56</v>
      </c>
      <c r="D218" t="s">
        <v>56</v>
      </c>
      <c r="E218" t="s">
        <v>74</v>
      </c>
      <c r="F218">
        <f t="shared" si="12"/>
        <v>1</v>
      </c>
      <c r="G218">
        <f t="shared" si="13"/>
        <v>0</v>
      </c>
      <c r="H218">
        <f t="shared" si="14"/>
        <v>1</v>
      </c>
      <c r="I218">
        <f t="shared" si="15"/>
        <v>0</v>
      </c>
      <c r="J218" t="s">
        <v>284</v>
      </c>
      <c r="K218" t="s">
        <v>284</v>
      </c>
      <c r="L218" t="s">
        <v>623</v>
      </c>
      <c r="M218" t="s">
        <v>670</v>
      </c>
    </row>
    <row r="219" spans="1:13" x14ac:dyDescent="0.35">
      <c r="A219">
        <v>2024</v>
      </c>
      <c r="B219" t="s">
        <v>178</v>
      </c>
      <c r="C219" t="s">
        <v>194</v>
      </c>
      <c r="D219" t="s">
        <v>56</v>
      </c>
      <c r="E219" t="s">
        <v>145</v>
      </c>
      <c r="F219">
        <f t="shared" si="12"/>
        <v>0</v>
      </c>
      <c r="G219">
        <f t="shared" si="13"/>
        <v>0</v>
      </c>
      <c r="H219">
        <f t="shared" si="14"/>
        <v>1</v>
      </c>
      <c r="I219">
        <f t="shared" si="15"/>
        <v>0</v>
      </c>
      <c r="J219" t="s">
        <v>284</v>
      </c>
      <c r="K219" t="s">
        <v>284</v>
      </c>
      <c r="L219" t="s">
        <v>623</v>
      </c>
      <c r="M219" t="s">
        <v>670</v>
      </c>
    </row>
    <row r="220" spans="1:13" x14ac:dyDescent="0.35">
      <c r="A220">
        <v>2023</v>
      </c>
      <c r="B220" t="s">
        <v>178</v>
      </c>
      <c r="C220" t="s">
        <v>194</v>
      </c>
      <c r="D220" t="s">
        <v>56</v>
      </c>
      <c r="E220" t="s">
        <v>226</v>
      </c>
      <c r="F220">
        <f t="shared" si="12"/>
        <v>0</v>
      </c>
      <c r="G220">
        <f t="shared" si="13"/>
        <v>1</v>
      </c>
      <c r="H220">
        <f t="shared" si="14"/>
        <v>0</v>
      </c>
      <c r="I220">
        <f t="shared" si="15"/>
        <v>0</v>
      </c>
      <c r="J220" t="s">
        <v>284</v>
      </c>
      <c r="K220" t="s">
        <v>284</v>
      </c>
      <c r="L220" t="s">
        <v>623</v>
      </c>
      <c r="M220" t="s">
        <v>673</v>
      </c>
    </row>
    <row r="221" spans="1:13" x14ac:dyDescent="0.35">
      <c r="A221">
        <v>2022</v>
      </c>
      <c r="B221" t="s">
        <v>178</v>
      </c>
      <c r="C221" t="s">
        <v>194</v>
      </c>
      <c r="D221" t="s">
        <v>195</v>
      </c>
      <c r="E221" t="s">
        <v>226</v>
      </c>
      <c r="F221">
        <f t="shared" si="12"/>
        <v>0</v>
      </c>
      <c r="G221">
        <f t="shared" si="13"/>
        <v>0</v>
      </c>
      <c r="H221">
        <f t="shared" si="14"/>
        <v>0</v>
      </c>
      <c r="I221">
        <f t="shared" si="15"/>
        <v>0</v>
      </c>
      <c r="J221" t="s">
        <v>284</v>
      </c>
      <c r="K221" t="s">
        <v>284</v>
      </c>
      <c r="L221" t="s">
        <v>623</v>
      </c>
      <c r="M221" t="s">
        <v>673</v>
      </c>
    </row>
    <row r="222" spans="1:13" x14ac:dyDescent="0.35">
      <c r="A222">
        <v>2021</v>
      </c>
      <c r="B222" t="s">
        <v>178</v>
      </c>
      <c r="C222" t="s">
        <v>194</v>
      </c>
      <c r="D222" t="s">
        <v>195</v>
      </c>
      <c r="E222" t="s">
        <v>226</v>
      </c>
      <c r="F222">
        <f t="shared" si="12"/>
        <v>0</v>
      </c>
      <c r="G222">
        <f t="shared" si="13"/>
        <v>0</v>
      </c>
      <c r="H222">
        <f t="shared" si="14"/>
        <v>1</v>
      </c>
      <c r="I222">
        <f t="shared" si="15"/>
        <v>0</v>
      </c>
      <c r="J222" t="s">
        <v>284</v>
      </c>
      <c r="K222" t="s">
        <v>284</v>
      </c>
      <c r="L222" t="s">
        <v>623</v>
      </c>
      <c r="M222" t="s">
        <v>673</v>
      </c>
    </row>
    <row r="223" spans="1:13" x14ac:dyDescent="0.35">
      <c r="A223">
        <v>2020</v>
      </c>
      <c r="B223" t="s">
        <v>178</v>
      </c>
      <c r="C223" t="s">
        <v>194</v>
      </c>
      <c r="D223" t="s">
        <v>195</v>
      </c>
      <c r="E223" t="s">
        <v>49</v>
      </c>
      <c r="F223">
        <f t="shared" si="12"/>
        <v>1</v>
      </c>
      <c r="G223">
        <f t="shared" si="13"/>
        <v>0</v>
      </c>
      <c r="H223">
        <f t="shared" si="14"/>
        <v>1</v>
      </c>
      <c r="I223">
        <f t="shared" si="15"/>
        <v>0</v>
      </c>
      <c r="J223" t="s">
        <v>284</v>
      </c>
      <c r="K223" t="s">
        <v>284</v>
      </c>
      <c r="L223" t="s">
        <v>623</v>
      </c>
      <c r="M223" t="s">
        <v>670</v>
      </c>
    </row>
    <row r="224" spans="1:13" x14ac:dyDescent="0.35">
      <c r="A224">
        <v>2019</v>
      </c>
      <c r="B224" t="s">
        <v>178</v>
      </c>
      <c r="C224" t="s">
        <v>196</v>
      </c>
      <c r="D224" t="s">
        <v>195</v>
      </c>
      <c r="E224" t="s">
        <v>199</v>
      </c>
      <c r="F224">
        <f t="shared" si="12"/>
        <v>0</v>
      </c>
      <c r="G224">
        <f t="shared" si="13"/>
        <v>1</v>
      </c>
      <c r="H224">
        <f t="shared" si="14"/>
        <v>0</v>
      </c>
      <c r="I224">
        <f t="shared" si="15"/>
        <v>0</v>
      </c>
      <c r="J224" t="s">
        <v>284</v>
      </c>
      <c r="K224" t="s">
        <v>284</v>
      </c>
      <c r="L224" t="s">
        <v>623</v>
      </c>
      <c r="M224" t="s">
        <v>665</v>
      </c>
    </row>
    <row r="225" spans="1:13" x14ac:dyDescent="0.35">
      <c r="A225">
        <v>2018</v>
      </c>
      <c r="B225" t="s">
        <v>178</v>
      </c>
      <c r="C225" t="s">
        <v>196</v>
      </c>
      <c r="D225" t="s">
        <v>197</v>
      </c>
      <c r="E225" t="s">
        <v>199</v>
      </c>
      <c r="F225">
        <f t="shared" si="12"/>
        <v>0</v>
      </c>
      <c r="G225">
        <f t="shared" si="13"/>
        <v>0</v>
      </c>
      <c r="H225">
        <f t="shared" si="14"/>
        <v>0</v>
      </c>
      <c r="I225">
        <f t="shared" si="15"/>
        <v>0</v>
      </c>
      <c r="J225" t="s">
        <v>284</v>
      </c>
      <c r="K225" t="s">
        <v>284</v>
      </c>
      <c r="L225" t="s">
        <v>623</v>
      </c>
      <c r="M225" t="s">
        <v>665</v>
      </c>
    </row>
    <row r="226" spans="1:13" x14ac:dyDescent="0.35">
      <c r="A226">
        <v>2017</v>
      </c>
      <c r="B226" t="s">
        <v>178</v>
      </c>
      <c r="C226" t="s">
        <v>196</v>
      </c>
      <c r="D226" t="s">
        <v>197</v>
      </c>
      <c r="E226" t="s">
        <v>199</v>
      </c>
      <c r="F226">
        <f t="shared" si="12"/>
        <v>0</v>
      </c>
      <c r="G226">
        <f t="shared" si="13"/>
        <v>0</v>
      </c>
      <c r="H226">
        <f t="shared" si="14"/>
        <v>0</v>
      </c>
      <c r="I226">
        <f t="shared" si="15"/>
        <v>0</v>
      </c>
      <c r="J226" t="s">
        <v>284</v>
      </c>
      <c r="K226" t="s">
        <v>284</v>
      </c>
      <c r="L226" t="s">
        <v>623</v>
      </c>
      <c r="M226" t="s">
        <v>665</v>
      </c>
    </row>
    <row r="227" spans="1:13" x14ac:dyDescent="0.35">
      <c r="A227">
        <v>2016</v>
      </c>
      <c r="B227" t="s">
        <v>178</v>
      </c>
      <c r="C227" t="s">
        <v>196</v>
      </c>
      <c r="D227" t="s">
        <v>197</v>
      </c>
      <c r="E227" t="s">
        <v>199</v>
      </c>
      <c r="F227">
        <f t="shared" si="12"/>
        <v>0</v>
      </c>
      <c r="G227">
        <f t="shared" si="13"/>
        <v>0</v>
      </c>
      <c r="H227">
        <f t="shared" si="14"/>
        <v>0</v>
      </c>
      <c r="I227">
        <f t="shared" si="15"/>
        <v>0</v>
      </c>
      <c r="J227" t="s">
        <v>284</v>
      </c>
      <c r="K227" t="s">
        <v>284</v>
      </c>
      <c r="L227" t="s">
        <v>623</v>
      </c>
      <c r="M227" t="s">
        <v>665</v>
      </c>
    </row>
    <row r="228" spans="1:13" x14ac:dyDescent="0.35">
      <c r="A228">
        <v>2015</v>
      </c>
      <c r="B228" t="s">
        <v>178</v>
      </c>
      <c r="C228" t="s">
        <v>196</v>
      </c>
      <c r="D228" t="s">
        <v>197</v>
      </c>
      <c r="E228" t="s">
        <v>199</v>
      </c>
      <c r="F228">
        <f t="shared" si="12"/>
        <v>0</v>
      </c>
      <c r="G228">
        <f t="shared" si="13"/>
        <v>1</v>
      </c>
      <c r="H228">
        <f t="shared" si="14"/>
        <v>0</v>
      </c>
      <c r="I228">
        <f t="shared" si="15"/>
        <v>0</v>
      </c>
      <c r="J228" t="s">
        <v>284</v>
      </c>
      <c r="K228" t="s">
        <v>284</v>
      </c>
      <c r="L228" t="s">
        <v>623</v>
      </c>
      <c r="M228" t="s">
        <v>665</v>
      </c>
    </row>
    <row r="229" spans="1:13" x14ac:dyDescent="0.35">
      <c r="A229">
        <v>2014</v>
      </c>
      <c r="B229" t="s">
        <v>178</v>
      </c>
      <c r="C229" t="s">
        <v>196</v>
      </c>
      <c r="D229" t="s">
        <v>198</v>
      </c>
      <c r="E229" t="s">
        <v>199</v>
      </c>
      <c r="F229">
        <f t="shared" si="12"/>
        <v>0</v>
      </c>
      <c r="G229">
        <f t="shared" si="13"/>
        <v>0</v>
      </c>
      <c r="H229">
        <f t="shared" si="14"/>
        <v>1</v>
      </c>
      <c r="I229">
        <f t="shared" si="15"/>
        <v>0</v>
      </c>
      <c r="J229" t="s">
        <v>284</v>
      </c>
      <c r="K229" t="s">
        <v>284</v>
      </c>
      <c r="L229" t="s">
        <v>626</v>
      </c>
      <c r="M229" t="s">
        <v>665</v>
      </c>
    </row>
    <row r="230" spans="1:13" x14ac:dyDescent="0.35">
      <c r="A230">
        <v>2013</v>
      </c>
      <c r="B230" t="s">
        <v>178</v>
      </c>
      <c r="C230" t="s">
        <v>196</v>
      </c>
      <c r="D230" t="s">
        <v>198</v>
      </c>
      <c r="E230" t="s">
        <v>200</v>
      </c>
      <c r="F230">
        <f t="shared" si="12"/>
        <v>0</v>
      </c>
      <c r="G230">
        <f t="shared" si="13"/>
        <v>0</v>
      </c>
      <c r="H230">
        <f t="shared" si="14"/>
        <v>1</v>
      </c>
      <c r="I230">
        <f t="shared" si="15"/>
        <v>0</v>
      </c>
      <c r="J230" t="s">
        <v>284</v>
      </c>
      <c r="K230" t="s">
        <v>284</v>
      </c>
      <c r="L230" t="s">
        <v>626</v>
      </c>
      <c r="M230" t="s">
        <v>665</v>
      </c>
    </row>
    <row r="231" spans="1:13" x14ac:dyDescent="0.35">
      <c r="A231">
        <v>2012</v>
      </c>
      <c r="B231" t="s">
        <v>178</v>
      </c>
      <c r="C231" t="s">
        <v>196</v>
      </c>
      <c r="D231" t="s">
        <v>198</v>
      </c>
      <c r="E231" t="s">
        <v>119</v>
      </c>
      <c r="F231">
        <f t="shared" si="12"/>
        <v>0</v>
      </c>
      <c r="G231">
        <f t="shared" si="13"/>
        <v>1</v>
      </c>
      <c r="H231">
        <f t="shared" si="14"/>
        <v>0</v>
      </c>
      <c r="I231">
        <f t="shared" si="15"/>
        <v>0</v>
      </c>
      <c r="J231" t="s">
        <v>284</v>
      </c>
      <c r="K231" t="s">
        <v>284</v>
      </c>
      <c r="L231" t="s">
        <v>626</v>
      </c>
      <c r="M231" t="s">
        <v>670</v>
      </c>
    </row>
    <row r="232" spans="1:13" x14ac:dyDescent="0.35">
      <c r="A232">
        <v>2011</v>
      </c>
      <c r="B232" t="s">
        <v>178</v>
      </c>
      <c r="C232" t="s">
        <v>196</v>
      </c>
      <c r="D232" t="s">
        <v>196</v>
      </c>
      <c r="E232" t="s">
        <v>119</v>
      </c>
      <c r="F232">
        <f t="shared" si="12"/>
        <v>0</v>
      </c>
      <c r="G232">
        <f t="shared" si="13"/>
        <v>0</v>
      </c>
      <c r="H232">
        <f t="shared" si="14"/>
        <v>1</v>
      </c>
      <c r="I232">
        <f t="shared" si="15"/>
        <v>0</v>
      </c>
      <c r="J232" t="s">
        <v>284</v>
      </c>
      <c r="K232" t="s">
        <v>284</v>
      </c>
      <c r="L232" t="s">
        <v>623</v>
      </c>
      <c r="M232" t="s">
        <v>670</v>
      </c>
    </row>
    <row r="233" spans="1:13" hidden="1" x14ac:dyDescent="0.35">
      <c r="A233">
        <v>2010</v>
      </c>
      <c r="B233" t="s">
        <v>178</v>
      </c>
      <c r="C233" t="s">
        <v>196</v>
      </c>
      <c r="D233" t="s">
        <v>196</v>
      </c>
      <c r="E233" t="s">
        <v>201</v>
      </c>
      <c r="F233">
        <f t="shared" si="12"/>
        <v>1</v>
      </c>
      <c r="G233">
        <f t="shared" si="13"/>
        <v>0</v>
      </c>
      <c r="H233">
        <f t="shared" si="14"/>
        <v>1</v>
      </c>
      <c r="I233">
        <f t="shared" si="15"/>
        <v>0</v>
      </c>
      <c r="J233" t="s">
        <v>284</v>
      </c>
      <c r="K233" t="s">
        <v>284</v>
      </c>
      <c r="L233" t="s">
        <v>623</v>
      </c>
      <c r="M233" t="s">
        <v>669</v>
      </c>
    </row>
    <row r="234" spans="1:13" hidden="1" x14ac:dyDescent="0.35">
      <c r="A234">
        <v>2009</v>
      </c>
      <c r="B234" t="s">
        <v>178</v>
      </c>
      <c r="C234" t="s">
        <v>96</v>
      </c>
      <c r="D234" t="s">
        <v>196</v>
      </c>
      <c r="E234" t="s">
        <v>96</v>
      </c>
      <c r="F234">
        <f t="shared" si="12"/>
        <v>0</v>
      </c>
      <c r="G234">
        <f t="shared" si="13"/>
        <v>0</v>
      </c>
      <c r="H234">
        <f t="shared" si="14"/>
        <v>1</v>
      </c>
      <c r="I234">
        <f t="shared" si="15"/>
        <v>0</v>
      </c>
      <c r="J234" t="s">
        <v>284</v>
      </c>
      <c r="K234" t="s">
        <v>284</v>
      </c>
      <c r="L234" t="s">
        <v>640</v>
      </c>
    </row>
    <row r="235" spans="1:13" hidden="1" x14ac:dyDescent="0.35">
      <c r="A235">
        <v>2008</v>
      </c>
      <c r="B235" t="s">
        <v>178</v>
      </c>
      <c r="C235" t="s">
        <v>96</v>
      </c>
      <c r="D235" t="s">
        <v>196</v>
      </c>
      <c r="E235" t="s">
        <v>455</v>
      </c>
      <c r="F235">
        <f t="shared" si="12"/>
        <v>0</v>
      </c>
      <c r="G235">
        <f t="shared" si="13"/>
        <v>0</v>
      </c>
      <c r="H235">
        <f t="shared" si="14"/>
        <v>0</v>
      </c>
      <c r="I235">
        <f t="shared" si="15"/>
        <v>0</v>
      </c>
      <c r="J235" t="s">
        <v>284</v>
      </c>
      <c r="K235" t="s">
        <v>284</v>
      </c>
      <c r="L235" t="s">
        <v>640</v>
      </c>
    </row>
    <row r="236" spans="1:13" hidden="1" x14ac:dyDescent="0.35">
      <c r="A236">
        <v>2007</v>
      </c>
      <c r="B236" t="s">
        <v>178</v>
      </c>
      <c r="C236" t="s">
        <v>96</v>
      </c>
      <c r="D236" t="s">
        <v>196</v>
      </c>
      <c r="E236" t="s">
        <v>455</v>
      </c>
      <c r="F236">
        <f t="shared" si="12"/>
        <v>1</v>
      </c>
      <c r="G236">
        <f t="shared" si="13"/>
        <v>1</v>
      </c>
      <c r="H236">
        <f t="shared" si="14"/>
        <v>1</v>
      </c>
      <c r="I236">
        <f t="shared" si="15"/>
        <v>0</v>
      </c>
      <c r="J236" t="s">
        <v>284</v>
      </c>
      <c r="K236" t="s">
        <v>284</v>
      </c>
      <c r="L236" t="s">
        <v>640</v>
      </c>
    </row>
    <row r="237" spans="1:13" hidden="1" x14ac:dyDescent="0.35">
      <c r="A237">
        <v>2006</v>
      </c>
      <c r="B237" t="s">
        <v>178</v>
      </c>
      <c r="C237" t="s">
        <v>456</v>
      </c>
      <c r="D237" t="s">
        <v>456</v>
      </c>
      <c r="E237" t="s">
        <v>145</v>
      </c>
      <c r="F237">
        <f t="shared" si="12"/>
        <v>0</v>
      </c>
      <c r="G237">
        <f t="shared" si="13"/>
        <v>0</v>
      </c>
      <c r="H237">
        <f t="shared" si="14"/>
        <v>0</v>
      </c>
      <c r="I237">
        <f t="shared" si="15"/>
        <v>0</v>
      </c>
      <c r="J237" t="s">
        <v>284</v>
      </c>
      <c r="K237" t="s">
        <v>284</v>
      </c>
      <c r="L237" t="s">
        <v>623</v>
      </c>
    </row>
    <row r="238" spans="1:13" hidden="1" x14ac:dyDescent="0.35">
      <c r="A238">
        <v>2005</v>
      </c>
      <c r="B238" t="s">
        <v>178</v>
      </c>
      <c r="C238" t="s">
        <v>456</v>
      </c>
      <c r="D238" t="s">
        <v>456</v>
      </c>
      <c r="E238" t="s">
        <v>145</v>
      </c>
      <c r="F238">
        <f t="shared" si="12"/>
        <v>0</v>
      </c>
      <c r="G238">
        <f t="shared" si="13"/>
        <v>1</v>
      </c>
      <c r="H238">
        <f t="shared" si="14"/>
        <v>0</v>
      </c>
      <c r="I238">
        <f t="shared" si="15"/>
        <v>0</v>
      </c>
      <c r="J238" t="s">
        <v>284</v>
      </c>
      <c r="K238" t="s">
        <v>284</v>
      </c>
      <c r="L238" t="s">
        <v>623</v>
      </c>
    </row>
    <row r="239" spans="1:13" hidden="1" x14ac:dyDescent="0.35">
      <c r="A239">
        <v>2004</v>
      </c>
      <c r="B239" t="s">
        <v>178</v>
      </c>
      <c r="C239" t="s">
        <v>456</v>
      </c>
      <c r="D239" t="s">
        <v>448</v>
      </c>
      <c r="E239" t="s">
        <v>145</v>
      </c>
      <c r="F239">
        <f t="shared" si="12"/>
        <v>0</v>
      </c>
      <c r="G239">
        <f t="shared" si="13"/>
        <v>0</v>
      </c>
      <c r="H239">
        <f t="shared" si="14"/>
        <v>0</v>
      </c>
      <c r="I239">
        <f t="shared" si="15"/>
        <v>0</v>
      </c>
      <c r="J239" t="s">
        <v>284</v>
      </c>
      <c r="K239" t="s">
        <v>284</v>
      </c>
      <c r="L239" t="s">
        <v>623</v>
      </c>
    </row>
    <row r="240" spans="1:13" hidden="1" x14ac:dyDescent="0.35">
      <c r="A240">
        <v>2003</v>
      </c>
      <c r="B240" t="s">
        <v>178</v>
      </c>
      <c r="C240" t="s">
        <v>456</v>
      </c>
      <c r="D240" t="s">
        <v>448</v>
      </c>
      <c r="E240" t="s">
        <v>145</v>
      </c>
      <c r="F240">
        <f t="shared" si="12"/>
        <v>1</v>
      </c>
      <c r="G240">
        <f t="shared" si="13"/>
        <v>1</v>
      </c>
      <c r="H240">
        <f t="shared" si="14"/>
        <v>0</v>
      </c>
      <c r="I240">
        <f t="shared" si="15"/>
        <v>0</v>
      </c>
      <c r="J240" t="s">
        <v>284</v>
      </c>
      <c r="K240" t="s">
        <v>284</v>
      </c>
      <c r="L240" t="s">
        <v>623</v>
      </c>
    </row>
    <row r="241" spans="1:13" hidden="1" x14ac:dyDescent="0.35">
      <c r="A241">
        <v>2002</v>
      </c>
      <c r="B241" t="s">
        <v>178</v>
      </c>
      <c r="C241" t="s">
        <v>449</v>
      </c>
      <c r="D241" t="s">
        <v>441</v>
      </c>
      <c r="E241" t="s">
        <v>145</v>
      </c>
      <c r="F241">
        <f t="shared" si="12"/>
        <v>0</v>
      </c>
      <c r="G241">
        <f t="shared" si="13"/>
        <v>1</v>
      </c>
      <c r="H241">
        <f t="shared" si="14"/>
        <v>0</v>
      </c>
      <c r="I241">
        <f t="shared" si="15"/>
        <v>0</v>
      </c>
      <c r="J241" t="s">
        <v>284</v>
      </c>
      <c r="K241" t="s">
        <v>284</v>
      </c>
      <c r="L241" t="s">
        <v>621</v>
      </c>
    </row>
    <row r="242" spans="1:13" hidden="1" x14ac:dyDescent="0.35">
      <c r="A242">
        <v>2001</v>
      </c>
      <c r="B242" t="s">
        <v>178</v>
      </c>
      <c r="C242" t="s">
        <v>449</v>
      </c>
      <c r="D242" t="s">
        <v>457</v>
      </c>
      <c r="E242" t="s">
        <v>145</v>
      </c>
      <c r="F242">
        <f t="shared" si="12"/>
        <v>0</v>
      </c>
      <c r="G242">
        <f t="shared" si="13"/>
        <v>0</v>
      </c>
      <c r="H242">
        <f t="shared" si="14"/>
        <v>0</v>
      </c>
      <c r="I242">
        <f t="shared" si="15"/>
        <v>0</v>
      </c>
      <c r="J242" t="s">
        <v>284</v>
      </c>
      <c r="K242" t="s">
        <v>284</v>
      </c>
      <c r="L242" t="s">
        <v>615</v>
      </c>
    </row>
    <row r="243" spans="1:13" hidden="1" x14ac:dyDescent="0.35">
      <c r="A243">
        <v>2000</v>
      </c>
      <c r="B243" t="s">
        <v>178</v>
      </c>
      <c r="C243" t="s">
        <v>449</v>
      </c>
      <c r="D243" t="s">
        <v>457</v>
      </c>
      <c r="E243" t="s">
        <v>145</v>
      </c>
      <c r="F243">
        <f t="shared" si="12"/>
        <v>1</v>
      </c>
      <c r="G243">
        <f t="shared" si="13"/>
        <v>1</v>
      </c>
      <c r="H243">
        <f t="shared" si="14"/>
        <v>1</v>
      </c>
      <c r="I243">
        <f t="shared" si="15"/>
        <v>0</v>
      </c>
      <c r="J243" t="s">
        <v>284</v>
      </c>
      <c r="K243" t="s">
        <v>284</v>
      </c>
      <c r="L243" t="s">
        <v>615</v>
      </c>
    </row>
    <row r="244" spans="1:13" hidden="1" x14ac:dyDescent="0.35">
      <c r="A244">
        <v>1999</v>
      </c>
      <c r="B244" t="s">
        <v>178</v>
      </c>
      <c r="C244" t="s">
        <v>18</v>
      </c>
      <c r="D244" t="s">
        <v>18</v>
      </c>
      <c r="E244" t="s">
        <v>449</v>
      </c>
      <c r="F244">
        <f t="shared" si="12"/>
        <v>1</v>
      </c>
      <c r="G244">
        <f t="shared" si="13"/>
        <v>1</v>
      </c>
      <c r="H244">
        <f t="shared" si="14"/>
        <v>1</v>
      </c>
      <c r="I244">
        <f t="shared" si="15"/>
        <v>1</v>
      </c>
      <c r="J244" t="s">
        <v>284</v>
      </c>
      <c r="K244" t="s">
        <v>284</v>
      </c>
      <c r="L244" t="s">
        <v>634</v>
      </c>
    </row>
    <row r="245" spans="1:13" x14ac:dyDescent="0.35">
      <c r="A245">
        <v>2025</v>
      </c>
      <c r="B245" t="s">
        <v>30</v>
      </c>
      <c r="C245" t="s">
        <v>246</v>
      </c>
      <c r="D245" t="s">
        <v>246</v>
      </c>
      <c r="E245" t="s">
        <v>42</v>
      </c>
      <c r="F245">
        <f t="shared" si="12"/>
        <v>0</v>
      </c>
      <c r="G245">
        <f t="shared" si="13"/>
        <v>0</v>
      </c>
      <c r="H245">
        <f t="shared" si="14"/>
        <v>0</v>
      </c>
      <c r="I245">
        <f t="shared" si="15"/>
        <v>0</v>
      </c>
      <c r="J245" t="s">
        <v>458</v>
      </c>
      <c r="K245" t="s">
        <v>460</v>
      </c>
      <c r="L245" t="s">
        <v>623</v>
      </c>
      <c r="M245" t="s">
        <v>670</v>
      </c>
    </row>
    <row r="246" spans="1:13" x14ac:dyDescent="0.35">
      <c r="A246">
        <v>2024</v>
      </c>
      <c r="B246" t="s">
        <v>30</v>
      </c>
      <c r="C246" t="s">
        <v>246</v>
      </c>
      <c r="D246" t="s">
        <v>246</v>
      </c>
      <c r="E246" t="s">
        <v>42</v>
      </c>
      <c r="F246">
        <f t="shared" si="12"/>
        <v>0</v>
      </c>
      <c r="G246">
        <f t="shared" si="13"/>
        <v>0</v>
      </c>
      <c r="H246">
        <f t="shared" si="14"/>
        <v>0</v>
      </c>
      <c r="I246">
        <f t="shared" si="15"/>
        <v>0</v>
      </c>
      <c r="J246" t="s">
        <v>458</v>
      </c>
      <c r="K246" t="s">
        <v>460</v>
      </c>
      <c r="L246" t="s">
        <v>623</v>
      </c>
      <c r="M246" t="s">
        <v>670</v>
      </c>
    </row>
    <row r="247" spans="1:13" x14ac:dyDescent="0.35">
      <c r="A247">
        <v>2023</v>
      </c>
      <c r="B247" t="s">
        <v>30</v>
      </c>
      <c r="C247" t="s">
        <v>246</v>
      </c>
      <c r="D247" t="s">
        <v>246</v>
      </c>
      <c r="E247" t="s">
        <v>42</v>
      </c>
      <c r="F247">
        <f t="shared" si="12"/>
        <v>1</v>
      </c>
      <c r="G247">
        <f t="shared" si="13"/>
        <v>1</v>
      </c>
      <c r="H247">
        <f t="shared" si="14"/>
        <v>1</v>
      </c>
      <c r="I247">
        <f t="shared" si="15"/>
        <v>0</v>
      </c>
      <c r="J247" t="s">
        <v>458</v>
      </c>
      <c r="K247" t="s">
        <v>460</v>
      </c>
      <c r="L247" t="s">
        <v>623</v>
      </c>
      <c r="M247" t="s">
        <v>670</v>
      </c>
    </row>
    <row r="248" spans="1:13" x14ac:dyDescent="0.35">
      <c r="A248">
        <v>2022</v>
      </c>
      <c r="B248" t="s">
        <v>30</v>
      </c>
      <c r="C248" t="s">
        <v>16</v>
      </c>
      <c r="D248" t="s">
        <v>16</v>
      </c>
      <c r="E248" t="s">
        <v>651</v>
      </c>
      <c r="F248">
        <f t="shared" si="12"/>
        <v>1</v>
      </c>
      <c r="G248">
        <f t="shared" si="13"/>
        <v>1</v>
      </c>
      <c r="H248">
        <f t="shared" si="14"/>
        <v>1</v>
      </c>
      <c r="I248">
        <f t="shared" si="15"/>
        <v>0</v>
      </c>
      <c r="J248" t="s">
        <v>458</v>
      </c>
      <c r="K248" t="s">
        <v>460</v>
      </c>
      <c r="L248" t="s">
        <v>626</v>
      </c>
      <c r="M248" t="s">
        <v>665</v>
      </c>
    </row>
    <row r="249" spans="1:13" x14ac:dyDescent="0.35">
      <c r="A249">
        <v>2021</v>
      </c>
      <c r="B249" t="s">
        <v>30</v>
      </c>
      <c r="C249" t="s">
        <v>167</v>
      </c>
      <c r="D249" t="s">
        <v>115</v>
      </c>
      <c r="E249" t="s">
        <v>167</v>
      </c>
      <c r="F249">
        <f t="shared" si="12"/>
        <v>0</v>
      </c>
      <c r="G249">
        <f t="shared" si="13"/>
        <v>0</v>
      </c>
      <c r="H249">
        <f t="shared" si="14"/>
        <v>0</v>
      </c>
      <c r="I249">
        <f t="shared" si="15"/>
        <v>1</v>
      </c>
      <c r="J249" t="s">
        <v>458</v>
      </c>
      <c r="K249" t="s">
        <v>460</v>
      </c>
      <c r="L249" t="s">
        <v>631</v>
      </c>
      <c r="M249" t="s">
        <v>667</v>
      </c>
    </row>
    <row r="250" spans="1:13" x14ac:dyDescent="0.35">
      <c r="A250">
        <v>2020</v>
      </c>
      <c r="B250" t="s">
        <v>30</v>
      </c>
      <c r="C250" t="s">
        <v>167</v>
      </c>
      <c r="D250" t="s">
        <v>115</v>
      </c>
      <c r="E250" t="s">
        <v>167</v>
      </c>
      <c r="F250">
        <f t="shared" si="12"/>
        <v>0</v>
      </c>
      <c r="G250">
        <f t="shared" si="13"/>
        <v>1</v>
      </c>
      <c r="H250">
        <f t="shared" si="14"/>
        <v>0</v>
      </c>
      <c r="I250">
        <f t="shared" si="15"/>
        <v>0</v>
      </c>
      <c r="J250" t="s">
        <v>279</v>
      </c>
      <c r="K250" t="s">
        <v>460</v>
      </c>
      <c r="L250" t="s">
        <v>631</v>
      </c>
      <c r="M250" t="s">
        <v>667</v>
      </c>
    </row>
    <row r="251" spans="1:13" x14ac:dyDescent="0.35">
      <c r="A251">
        <v>2019</v>
      </c>
      <c r="B251" t="s">
        <v>30</v>
      </c>
      <c r="C251" t="s">
        <v>167</v>
      </c>
      <c r="D251" t="s">
        <v>169</v>
      </c>
      <c r="E251" t="s">
        <v>167</v>
      </c>
      <c r="F251">
        <f t="shared" si="12"/>
        <v>1</v>
      </c>
      <c r="G251">
        <f t="shared" si="13"/>
        <v>1</v>
      </c>
      <c r="H251">
        <f t="shared" si="14"/>
        <v>1</v>
      </c>
      <c r="I251">
        <f t="shared" si="15"/>
        <v>0</v>
      </c>
      <c r="J251" t="s">
        <v>279</v>
      </c>
      <c r="K251" t="s">
        <v>460</v>
      </c>
      <c r="L251" t="s">
        <v>626</v>
      </c>
      <c r="M251" t="s">
        <v>667</v>
      </c>
    </row>
    <row r="252" spans="1:13" x14ac:dyDescent="0.35">
      <c r="A252">
        <v>2018</v>
      </c>
      <c r="B252" t="s">
        <v>30</v>
      </c>
      <c r="C252" t="s">
        <v>42</v>
      </c>
      <c r="D252" t="s">
        <v>159</v>
      </c>
      <c r="E252" t="s">
        <v>105</v>
      </c>
      <c r="F252">
        <f t="shared" si="12"/>
        <v>0</v>
      </c>
      <c r="G252">
        <f t="shared" si="13"/>
        <v>1</v>
      </c>
      <c r="H252">
        <f t="shared" si="14"/>
        <v>0</v>
      </c>
      <c r="I252">
        <f t="shared" si="15"/>
        <v>0</v>
      </c>
      <c r="J252" t="s">
        <v>279</v>
      </c>
      <c r="K252" t="s">
        <v>459</v>
      </c>
      <c r="L252" t="s">
        <v>626</v>
      </c>
      <c r="M252" t="s">
        <v>667</v>
      </c>
    </row>
    <row r="253" spans="1:13" x14ac:dyDescent="0.35">
      <c r="A253">
        <v>2017</v>
      </c>
      <c r="B253" t="s">
        <v>30</v>
      </c>
      <c r="C253" t="s">
        <v>42</v>
      </c>
      <c r="D253" t="s">
        <v>170</v>
      </c>
      <c r="E253" t="s">
        <v>105</v>
      </c>
      <c r="F253">
        <f t="shared" si="12"/>
        <v>1</v>
      </c>
      <c r="G253">
        <f t="shared" si="13"/>
        <v>1</v>
      </c>
      <c r="H253">
        <f t="shared" si="14"/>
        <v>1</v>
      </c>
      <c r="I253">
        <f t="shared" si="15"/>
        <v>0</v>
      </c>
      <c r="J253" t="s">
        <v>279</v>
      </c>
      <c r="K253" t="s">
        <v>459</v>
      </c>
      <c r="L253" t="s">
        <v>626</v>
      </c>
      <c r="M253" t="s">
        <v>667</v>
      </c>
    </row>
    <row r="254" spans="1:13" x14ac:dyDescent="0.35">
      <c r="A254">
        <v>2016</v>
      </c>
      <c r="B254" t="s">
        <v>30</v>
      </c>
      <c r="C254" t="s">
        <v>95</v>
      </c>
      <c r="D254" t="s">
        <v>95</v>
      </c>
      <c r="E254" t="s">
        <v>96</v>
      </c>
      <c r="F254">
        <f t="shared" si="12"/>
        <v>0</v>
      </c>
      <c r="G254">
        <f t="shared" si="13"/>
        <v>0</v>
      </c>
      <c r="H254">
        <f t="shared" si="14"/>
        <v>0</v>
      </c>
      <c r="I254">
        <f t="shared" si="15"/>
        <v>0</v>
      </c>
      <c r="J254" t="s">
        <v>279</v>
      </c>
      <c r="K254" t="s">
        <v>459</v>
      </c>
      <c r="L254" t="s">
        <v>664</v>
      </c>
      <c r="M254" t="s">
        <v>667</v>
      </c>
    </row>
    <row r="255" spans="1:13" x14ac:dyDescent="0.35">
      <c r="A255">
        <v>2015</v>
      </c>
      <c r="B255" t="s">
        <v>30</v>
      </c>
      <c r="C255" t="s">
        <v>95</v>
      </c>
      <c r="D255" t="s">
        <v>95</v>
      </c>
      <c r="E255" t="s">
        <v>96</v>
      </c>
      <c r="F255">
        <f t="shared" si="12"/>
        <v>1</v>
      </c>
      <c r="G255">
        <f t="shared" si="13"/>
        <v>1</v>
      </c>
      <c r="H255">
        <f t="shared" si="14"/>
        <v>1</v>
      </c>
      <c r="I255">
        <f t="shared" si="15"/>
        <v>0</v>
      </c>
      <c r="J255" t="s">
        <v>279</v>
      </c>
      <c r="K255" t="s">
        <v>459</v>
      </c>
      <c r="L255" t="s">
        <v>664</v>
      </c>
      <c r="M255" t="s">
        <v>667</v>
      </c>
    </row>
    <row r="256" spans="1:13" x14ac:dyDescent="0.35">
      <c r="A256">
        <v>2014</v>
      </c>
      <c r="B256" t="s">
        <v>30</v>
      </c>
      <c r="C256" t="s">
        <v>168</v>
      </c>
      <c r="D256" t="s">
        <v>38</v>
      </c>
      <c r="E256" t="s">
        <v>90</v>
      </c>
      <c r="F256">
        <f t="shared" si="12"/>
        <v>0</v>
      </c>
      <c r="G256">
        <f t="shared" si="13"/>
        <v>0</v>
      </c>
      <c r="H256">
        <f t="shared" si="14"/>
        <v>0</v>
      </c>
      <c r="I256">
        <f t="shared" si="15"/>
        <v>0</v>
      </c>
      <c r="J256" t="s">
        <v>279</v>
      </c>
      <c r="K256" t="s">
        <v>459</v>
      </c>
      <c r="L256" t="s">
        <v>623</v>
      </c>
      <c r="M256" t="s">
        <v>670</v>
      </c>
    </row>
    <row r="257" spans="1:13" x14ac:dyDescent="0.35">
      <c r="A257">
        <v>2013</v>
      </c>
      <c r="B257" t="s">
        <v>30</v>
      </c>
      <c r="C257" t="s">
        <v>168</v>
      </c>
      <c r="D257" t="s">
        <v>38</v>
      </c>
      <c r="E257" t="s">
        <v>90</v>
      </c>
      <c r="F257">
        <f t="shared" si="12"/>
        <v>0</v>
      </c>
      <c r="G257">
        <f t="shared" si="13"/>
        <v>1</v>
      </c>
      <c r="H257">
        <f t="shared" si="14"/>
        <v>0</v>
      </c>
      <c r="I257">
        <f t="shared" si="15"/>
        <v>0</v>
      </c>
      <c r="J257" t="s">
        <v>279</v>
      </c>
      <c r="K257" t="s">
        <v>459</v>
      </c>
      <c r="L257" t="s">
        <v>623</v>
      </c>
      <c r="M257" t="s">
        <v>670</v>
      </c>
    </row>
    <row r="258" spans="1:13" x14ac:dyDescent="0.35">
      <c r="A258">
        <v>2012</v>
      </c>
      <c r="B258" t="s">
        <v>30</v>
      </c>
      <c r="C258" t="s">
        <v>168</v>
      </c>
      <c r="D258" t="s">
        <v>170</v>
      </c>
      <c r="E258" t="s">
        <v>90</v>
      </c>
      <c r="F258">
        <f t="shared" ref="F258:F321" si="16">IF(C258=C259,0,1)</f>
        <v>0</v>
      </c>
      <c r="G258">
        <f t="shared" ref="G258:G321" si="17">IF(D258=D259,0,1)</f>
        <v>0</v>
      </c>
      <c r="H258">
        <f t="shared" ref="H258:H321" si="18">IF(E258=E259,0,1)</f>
        <v>1</v>
      </c>
      <c r="I258">
        <f t="shared" ref="I258:I321" si="19">IF(J258=J259,0,1)</f>
        <v>0</v>
      </c>
      <c r="J258" t="s">
        <v>279</v>
      </c>
      <c r="K258" t="s">
        <v>459</v>
      </c>
      <c r="L258" t="s">
        <v>626</v>
      </c>
      <c r="M258" t="s">
        <v>670</v>
      </c>
    </row>
    <row r="259" spans="1:13" x14ac:dyDescent="0.35">
      <c r="A259">
        <v>2011</v>
      </c>
      <c r="B259" t="s">
        <v>30</v>
      </c>
      <c r="C259" t="s">
        <v>168</v>
      </c>
      <c r="D259" t="s">
        <v>170</v>
      </c>
      <c r="E259" t="s">
        <v>156</v>
      </c>
      <c r="F259">
        <f t="shared" si="16"/>
        <v>1</v>
      </c>
      <c r="G259">
        <f t="shared" si="17"/>
        <v>0</v>
      </c>
      <c r="H259">
        <f t="shared" si="18"/>
        <v>1</v>
      </c>
      <c r="I259">
        <f t="shared" si="19"/>
        <v>1</v>
      </c>
      <c r="J259" t="s">
        <v>279</v>
      </c>
      <c r="K259" t="s">
        <v>459</v>
      </c>
      <c r="L259" t="s">
        <v>626</v>
      </c>
      <c r="M259" t="s">
        <v>671</v>
      </c>
    </row>
    <row r="260" spans="1:13" hidden="1" x14ac:dyDescent="0.35">
      <c r="A260">
        <v>2010</v>
      </c>
      <c r="B260" t="s">
        <v>30</v>
      </c>
      <c r="C260" t="s">
        <v>24</v>
      </c>
      <c r="D260" t="s">
        <v>170</v>
      </c>
      <c r="E260" t="s">
        <v>133</v>
      </c>
      <c r="F260">
        <f t="shared" si="16"/>
        <v>0</v>
      </c>
      <c r="G260">
        <f t="shared" si="17"/>
        <v>0</v>
      </c>
      <c r="H260">
        <f t="shared" si="18"/>
        <v>0</v>
      </c>
      <c r="I260">
        <f t="shared" si="19"/>
        <v>0</v>
      </c>
      <c r="J260" t="s">
        <v>280</v>
      </c>
      <c r="K260" t="s">
        <v>459</v>
      </c>
      <c r="L260" t="s">
        <v>623</v>
      </c>
      <c r="M260" t="s">
        <v>669</v>
      </c>
    </row>
    <row r="261" spans="1:13" hidden="1" x14ac:dyDescent="0.35">
      <c r="A261">
        <v>2009</v>
      </c>
      <c r="B261" t="s">
        <v>30</v>
      </c>
      <c r="C261" t="s">
        <v>24</v>
      </c>
      <c r="D261" t="s">
        <v>170</v>
      </c>
      <c r="E261" t="s">
        <v>133</v>
      </c>
      <c r="F261">
        <f t="shared" si="16"/>
        <v>1</v>
      </c>
      <c r="G261">
        <f t="shared" si="17"/>
        <v>1</v>
      </c>
      <c r="H261">
        <f t="shared" si="18"/>
        <v>1</v>
      </c>
      <c r="I261">
        <f t="shared" si="19"/>
        <v>1</v>
      </c>
      <c r="J261" t="s">
        <v>280</v>
      </c>
      <c r="K261" t="s">
        <v>459</v>
      </c>
      <c r="L261" t="s">
        <v>621</v>
      </c>
    </row>
    <row r="262" spans="1:13" hidden="1" x14ac:dyDescent="0.35">
      <c r="A262">
        <v>2008</v>
      </c>
      <c r="B262" t="s">
        <v>30</v>
      </c>
      <c r="C262" t="s">
        <v>213</v>
      </c>
      <c r="D262" t="s">
        <v>213</v>
      </c>
      <c r="E262" t="s">
        <v>454</v>
      </c>
      <c r="F262">
        <f t="shared" si="16"/>
        <v>0</v>
      </c>
      <c r="G262">
        <f t="shared" si="17"/>
        <v>0</v>
      </c>
      <c r="H262">
        <f t="shared" si="18"/>
        <v>0</v>
      </c>
      <c r="I262">
        <f t="shared" si="19"/>
        <v>1</v>
      </c>
      <c r="J262" t="s">
        <v>461</v>
      </c>
      <c r="K262" t="s">
        <v>459</v>
      </c>
      <c r="L262" t="s">
        <v>627</v>
      </c>
    </row>
    <row r="263" spans="1:13" hidden="1" x14ac:dyDescent="0.35">
      <c r="A263">
        <v>2007</v>
      </c>
      <c r="B263" t="s">
        <v>30</v>
      </c>
      <c r="C263" t="s">
        <v>213</v>
      </c>
      <c r="D263" t="s">
        <v>213</v>
      </c>
      <c r="E263" t="s">
        <v>454</v>
      </c>
      <c r="F263">
        <f t="shared" si="16"/>
        <v>0</v>
      </c>
      <c r="G263">
        <f t="shared" si="17"/>
        <v>0</v>
      </c>
      <c r="H263">
        <f t="shared" si="18"/>
        <v>1</v>
      </c>
      <c r="I263">
        <f t="shared" si="19"/>
        <v>0</v>
      </c>
      <c r="J263" t="s">
        <v>462</v>
      </c>
      <c r="K263" t="s">
        <v>459</v>
      </c>
      <c r="L263" t="s">
        <v>627</v>
      </c>
    </row>
    <row r="264" spans="1:13" hidden="1" x14ac:dyDescent="0.35">
      <c r="A264">
        <v>2006</v>
      </c>
      <c r="B264" t="s">
        <v>30</v>
      </c>
      <c r="C264" t="s">
        <v>213</v>
      </c>
      <c r="D264" t="s">
        <v>213</v>
      </c>
      <c r="E264" t="s">
        <v>80</v>
      </c>
      <c r="F264">
        <f t="shared" si="16"/>
        <v>0</v>
      </c>
      <c r="G264">
        <f t="shared" si="17"/>
        <v>1</v>
      </c>
      <c r="H264">
        <f t="shared" si="18"/>
        <v>0</v>
      </c>
      <c r="I264">
        <f t="shared" si="19"/>
        <v>0</v>
      </c>
      <c r="J264" t="s">
        <v>462</v>
      </c>
      <c r="K264" t="s">
        <v>459</v>
      </c>
      <c r="L264" t="s">
        <v>627</v>
      </c>
    </row>
    <row r="265" spans="1:13" hidden="1" x14ac:dyDescent="0.35">
      <c r="A265">
        <v>2005</v>
      </c>
      <c r="B265" t="s">
        <v>30</v>
      </c>
      <c r="C265" t="s">
        <v>213</v>
      </c>
      <c r="D265" t="s">
        <v>95</v>
      </c>
      <c r="E265" t="s">
        <v>80</v>
      </c>
      <c r="F265">
        <f t="shared" si="16"/>
        <v>0</v>
      </c>
      <c r="G265">
        <f t="shared" si="17"/>
        <v>0</v>
      </c>
      <c r="H265">
        <f t="shared" si="18"/>
        <v>0</v>
      </c>
      <c r="I265">
        <f t="shared" si="19"/>
        <v>0</v>
      </c>
      <c r="J265" t="s">
        <v>462</v>
      </c>
      <c r="K265" t="s">
        <v>459</v>
      </c>
      <c r="L265" t="s">
        <v>627</v>
      </c>
    </row>
    <row r="266" spans="1:13" hidden="1" x14ac:dyDescent="0.35">
      <c r="A266">
        <v>2004</v>
      </c>
      <c r="B266" t="s">
        <v>30</v>
      </c>
      <c r="C266" t="s">
        <v>213</v>
      </c>
      <c r="D266" t="s">
        <v>95</v>
      </c>
      <c r="E266" t="s">
        <v>80</v>
      </c>
      <c r="F266">
        <f t="shared" si="16"/>
        <v>0</v>
      </c>
      <c r="G266">
        <f t="shared" si="17"/>
        <v>0</v>
      </c>
      <c r="H266">
        <f t="shared" si="18"/>
        <v>0</v>
      </c>
      <c r="I266">
        <f t="shared" si="19"/>
        <v>0</v>
      </c>
      <c r="J266" t="s">
        <v>462</v>
      </c>
      <c r="K266" t="s">
        <v>459</v>
      </c>
      <c r="L266" t="s">
        <v>627</v>
      </c>
    </row>
    <row r="267" spans="1:13" hidden="1" x14ac:dyDescent="0.35">
      <c r="A267">
        <v>2003</v>
      </c>
      <c r="B267" t="s">
        <v>30</v>
      </c>
      <c r="C267" t="s">
        <v>213</v>
      </c>
      <c r="D267" t="s">
        <v>95</v>
      </c>
      <c r="E267" t="s">
        <v>80</v>
      </c>
      <c r="F267">
        <f t="shared" si="16"/>
        <v>0</v>
      </c>
      <c r="G267">
        <f t="shared" si="17"/>
        <v>0</v>
      </c>
      <c r="H267">
        <f t="shared" si="18"/>
        <v>1</v>
      </c>
      <c r="I267">
        <f t="shared" si="19"/>
        <v>0</v>
      </c>
      <c r="J267" t="s">
        <v>462</v>
      </c>
      <c r="K267" t="s">
        <v>459</v>
      </c>
      <c r="L267" t="s">
        <v>627</v>
      </c>
    </row>
    <row r="268" spans="1:13" hidden="1" x14ac:dyDescent="0.35">
      <c r="A268">
        <v>2002</v>
      </c>
      <c r="B268" t="s">
        <v>30</v>
      </c>
      <c r="C268" t="s">
        <v>213</v>
      </c>
      <c r="D268" t="s">
        <v>95</v>
      </c>
      <c r="E268" t="s">
        <v>463</v>
      </c>
      <c r="F268">
        <f t="shared" si="16"/>
        <v>0</v>
      </c>
      <c r="G268">
        <f t="shared" si="17"/>
        <v>0</v>
      </c>
      <c r="H268">
        <f t="shared" si="18"/>
        <v>0</v>
      </c>
      <c r="I268">
        <f t="shared" si="19"/>
        <v>1</v>
      </c>
      <c r="J268" t="s">
        <v>462</v>
      </c>
      <c r="K268" t="s">
        <v>459</v>
      </c>
      <c r="L268" t="s">
        <v>627</v>
      </c>
    </row>
    <row r="269" spans="1:13" hidden="1" x14ac:dyDescent="0.35">
      <c r="A269">
        <v>2001</v>
      </c>
      <c r="B269" t="s">
        <v>30</v>
      </c>
      <c r="C269" t="s">
        <v>213</v>
      </c>
      <c r="D269" t="s">
        <v>95</v>
      </c>
      <c r="E269" t="s">
        <v>463</v>
      </c>
      <c r="F269">
        <f t="shared" si="16"/>
        <v>0</v>
      </c>
      <c r="G269">
        <f t="shared" si="17"/>
        <v>0</v>
      </c>
      <c r="H269">
        <f t="shared" si="18"/>
        <v>1</v>
      </c>
      <c r="I269">
        <f t="shared" si="19"/>
        <v>0</v>
      </c>
      <c r="J269" t="s">
        <v>464</v>
      </c>
      <c r="K269" t="s">
        <v>459</v>
      </c>
      <c r="L269" t="s">
        <v>627</v>
      </c>
    </row>
    <row r="270" spans="1:13" hidden="1" x14ac:dyDescent="0.35">
      <c r="A270">
        <v>2000</v>
      </c>
      <c r="B270" t="s">
        <v>30</v>
      </c>
      <c r="C270" t="s">
        <v>213</v>
      </c>
      <c r="D270" t="s">
        <v>95</v>
      </c>
      <c r="E270" t="s">
        <v>465</v>
      </c>
      <c r="F270">
        <f t="shared" si="16"/>
        <v>0</v>
      </c>
      <c r="G270">
        <f t="shared" si="17"/>
        <v>0</v>
      </c>
      <c r="H270">
        <f t="shared" si="18"/>
        <v>0</v>
      </c>
      <c r="I270">
        <f t="shared" si="19"/>
        <v>0</v>
      </c>
      <c r="J270" t="s">
        <v>464</v>
      </c>
      <c r="K270" t="s">
        <v>459</v>
      </c>
      <c r="L270" t="s">
        <v>627</v>
      </c>
    </row>
    <row r="271" spans="1:13" hidden="1" x14ac:dyDescent="0.35">
      <c r="A271">
        <v>1999</v>
      </c>
      <c r="B271" t="s">
        <v>30</v>
      </c>
      <c r="C271" t="s">
        <v>213</v>
      </c>
      <c r="D271" t="s">
        <v>95</v>
      </c>
      <c r="E271" t="s">
        <v>465</v>
      </c>
      <c r="F271">
        <f t="shared" si="16"/>
        <v>1</v>
      </c>
      <c r="G271">
        <f t="shared" si="17"/>
        <v>1</v>
      </c>
      <c r="H271">
        <f t="shared" si="18"/>
        <v>1</v>
      </c>
      <c r="I271">
        <f t="shared" si="19"/>
        <v>1</v>
      </c>
      <c r="J271" t="s">
        <v>464</v>
      </c>
      <c r="K271" t="s">
        <v>459</v>
      </c>
      <c r="L271" t="s">
        <v>627</v>
      </c>
    </row>
    <row r="272" spans="1:13" x14ac:dyDescent="0.35">
      <c r="A272">
        <v>2025</v>
      </c>
      <c r="B272" t="s">
        <v>165</v>
      </c>
      <c r="C272" t="s">
        <v>466</v>
      </c>
      <c r="D272" t="s">
        <v>54</v>
      </c>
      <c r="E272" t="s">
        <v>688</v>
      </c>
      <c r="F272">
        <f t="shared" si="16"/>
        <v>0</v>
      </c>
      <c r="G272">
        <f t="shared" si="17"/>
        <v>1</v>
      </c>
      <c r="H272">
        <f t="shared" si="18"/>
        <v>1</v>
      </c>
      <c r="I272">
        <f t="shared" si="19"/>
        <v>0</v>
      </c>
      <c r="J272" t="s">
        <v>468</v>
      </c>
      <c r="K272" t="s">
        <v>469</v>
      </c>
      <c r="L272" t="s">
        <v>626</v>
      </c>
      <c r="M272" t="s">
        <v>671</v>
      </c>
    </row>
    <row r="273" spans="1:13" x14ac:dyDescent="0.35">
      <c r="A273">
        <v>2024</v>
      </c>
      <c r="B273" t="s">
        <v>165</v>
      </c>
      <c r="C273" t="s">
        <v>466</v>
      </c>
      <c r="D273" t="s">
        <v>648</v>
      </c>
      <c r="E273" t="s">
        <v>467</v>
      </c>
      <c r="F273">
        <f t="shared" si="16"/>
        <v>0</v>
      </c>
      <c r="G273">
        <f t="shared" si="17"/>
        <v>0</v>
      </c>
      <c r="H273">
        <f t="shared" si="18"/>
        <v>0</v>
      </c>
      <c r="I273">
        <f t="shared" si="19"/>
        <v>0</v>
      </c>
      <c r="J273" t="s">
        <v>468</v>
      </c>
      <c r="K273" t="s">
        <v>469</v>
      </c>
      <c r="L273" t="s">
        <v>626</v>
      </c>
      <c r="M273" t="s">
        <v>671</v>
      </c>
    </row>
    <row r="274" spans="1:13" x14ac:dyDescent="0.35">
      <c r="A274">
        <v>2023</v>
      </c>
      <c r="B274" t="s">
        <v>165</v>
      </c>
      <c r="C274" t="s">
        <v>466</v>
      </c>
      <c r="D274" t="s">
        <v>648</v>
      </c>
      <c r="E274" t="s">
        <v>467</v>
      </c>
      <c r="F274">
        <f t="shared" si="16"/>
        <v>0</v>
      </c>
      <c r="G274">
        <f t="shared" si="17"/>
        <v>0</v>
      </c>
      <c r="H274">
        <f t="shared" si="18"/>
        <v>0</v>
      </c>
      <c r="I274">
        <f t="shared" si="19"/>
        <v>0</v>
      </c>
      <c r="J274" t="s">
        <v>468</v>
      </c>
      <c r="K274" t="s">
        <v>469</v>
      </c>
      <c r="L274" t="s">
        <v>626</v>
      </c>
      <c r="M274" t="s">
        <v>671</v>
      </c>
    </row>
    <row r="275" spans="1:13" x14ac:dyDescent="0.35">
      <c r="A275">
        <v>2022</v>
      </c>
      <c r="B275" t="s">
        <v>165</v>
      </c>
      <c r="C275" t="s">
        <v>466</v>
      </c>
      <c r="D275" t="s">
        <v>648</v>
      </c>
      <c r="E275" t="s">
        <v>467</v>
      </c>
      <c r="F275">
        <f t="shared" si="16"/>
        <v>0</v>
      </c>
      <c r="G275">
        <f t="shared" si="17"/>
        <v>1</v>
      </c>
      <c r="H275">
        <f t="shared" si="18"/>
        <v>0</v>
      </c>
      <c r="I275">
        <f t="shared" si="19"/>
        <v>0</v>
      </c>
      <c r="J275" t="s">
        <v>468</v>
      </c>
      <c r="K275" t="s">
        <v>469</v>
      </c>
      <c r="L275" t="s">
        <v>626</v>
      </c>
      <c r="M275" t="s">
        <v>671</v>
      </c>
    </row>
    <row r="276" spans="1:13" x14ac:dyDescent="0.35">
      <c r="A276">
        <v>2021</v>
      </c>
      <c r="B276" t="s">
        <v>165</v>
      </c>
      <c r="C276" t="s">
        <v>466</v>
      </c>
      <c r="D276" t="s">
        <v>171</v>
      </c>
      <c r="E276" t="s">
        <v>467</v>
      </c>
      <c r="F276">
        <f t="shared" si="16"/>
        <v>1</v>
      </c>
      <c r="G276">
        <f t="shared" si="17"/>
        <v>1</v>
      </c>
      <c r="H276">
        <f t="shared" si="18"/>
        <v>1</v>
      </c>
      <c r="I276">
        <f t="shared" si="19"/>
        <v>1</v>
      </c>
      <c r="J276" t="s">
        <v>468</v>
      </c>
      <c r="K276" t="s">
        <v>469</v>
      </c>
      <c r="L276" t="s">
        <v>626</v>
      </c>
      <c r="M276" t="s">
        <v>671</v>
      </c>
    </row>
    <row r="277" spans="1:13" x14ac:dyDescent="0.35">
      <c r="A277">
        <v>2020</v>
      </c>
      <c r="B277" t="s">
        <v>165</v>
      </c>
      <c r="C277" t="s">
        <v>25</v>
      </c>
      <c r="D277" t="s">
        <v>216</v>
      </c>
      <c r="E277" t="s">
        <v>25</v>
      </c>
      <c r="F277">
        <f t="shared" si="16"/>
        <v>0</v>
      </c>
      <c r="G277">
        <f t="shared" si="17"/>
        <v>0</v>
      </c>
      <c r="H277">
        <f t="shared" si="18"/>
        <v>0</v>
      </c>
      <c r="I277">
        <f t="shared" si="19"/>
        <v>0</v>
      </c>
      <c r="J277" t="s">
        <v>296</v>
      </c>
      <c r="K277" t="s">
        <v>470</v>
      </c>
      <c r="L277" t="s">
        <v>631</v>
      </c>
      <c r="M277" t="s">
        <v>669</v>
      </c>
    </row>
    <row r="278" spans="1:13" x14ac:dyDescent="0.35">
      <c r="A278">
        <v>2019</v>
      </c>
      <c r="B278" t="s">
        <v>165</v>
      </c>
      <c r="C278" t="s">
        <v>25</v>
      </c>
      <c r="D278" t="s">
        <v>216</v>
      </c>
      <c r="E278" t="s">
        <v>25</v>
      </c>
      <c r="F278">
        <f t="shared" si="16"/>
        <v>0</v>
      </c>
      <c r="G278">
        <f t="shared" si="17"/>
        <v>1</v>
      </c>
      <c r="H278">
        <f t="shared" si="18"/>
        <v>0</v>
      </c>
      <c r="I278">
        <f t="shared" si="19"/>
        <v>0</v>
      </c>
      <c r="J278" t="s">
        <v>296</v>
      </c>
      <c r="K278" t="s">
        <v>470</v>
      </c>
      <c r="L278" t="s">
        <v>631</v>
      </c>
      <c r="M278" t="s">
        <v>669</v>
      </c>
    </row>
    <row r="279" spans="1:13" x14ac:dyDescent="0.35">
      <c r="A279">
        <v>2018</v>
      </c>
      <c r="B279" t="s">
        <v>165</v>
      </c>
      <c r="C279" t="s">
        <v>25</v>
      </c>
      <c r="D279" t="s">
        <v>222</v>
      </c>
      <c r="E279" t="s">
        <v>25</v>
      </c>
      <c r="F279">
        <f t="shared" si="16"/>
        <v>1</v>
      </c>
      <c r="G279">
        <f t="shared" si="17"/>
        <v>0</v>
      </c>
      <c r="H279">
        <f t="shared" si="18"/>
        <v>1</v>
      </c>
      <c r="I279">
        <f t="shared" si="19"/>
        <v>0</v>
      </c>
      <c r="J279" t="s">
        <v>296</v>
      </c>
      <c r="K279" t="s">
        <v>470</v>
      </c>
      <c r="L279" t="s">
        <v>623</v>
      </c>
      <c r="M279" t="s">
        <v>669</v>
      </c>
    </row>
    <row r="280" spans="1:13" x14ac:dyDescent="0.35">
      <c r="A280">
        <v>2017</v>
      </c>
      <c r="B280" t="s">
        <v>165</v>
      </c>
      <c r="C280" t="s">
        <v>79</v>
      </c>
      <c r="D280" t="s">
        <v>222</v>
      </c>
      <c r="E280" t="s">
        <v>143</v>
      </c>
      <c r="F280">
        <f t="shared" si="16"/>
        <v>0</v>
      </c>
      <c r="G280">
        <f t="shared" si="17"/>
        <v>0</v>
      </c>
      <c r="H280">
        <f t="shared" si="18"/>
        <v>0</v>
      </c>
      <c r="I280">
        <f t="shared" si="19"/>
        <v>0</v>
      </c>
      <c r="J280" t="s">
        <v>296</v>
      </c>
      <c r="K280" t="s">
        <v>470</v>
      </c>
      <c r="L280" t="s">
        <v>623</v>
      </c>
      <c r="M280" t="s">
        <v>674</v>
      </c>
    </row>
    <row r="281" spans="1:13" x14ac:dyDescent="0.35">
      <c r="A281">
        <v>2016</v>
      </c>
      <c r="B281" t="s">
        <v>165</v>
      </c>
      <c r="C281" t="s">
        <v>79</v>
      </c>
      <c r="D281" t="s">
        <v>222</v>
      </c>
      <c r="E281" t="s">
        <v>143</v>
      </c>
      <c r="F281">
        <f t="shared" si="16"/>
        <v>0</v>
      </c>
      <c r="G281">
        <f t="shared" si="17"/>
        <v>1</v>
      </c>
      <c r="H281">
        <f t="shared" si="18"/>
        <v>0</v>
      </c>
      <c r="I281">
        <f t="shared" si="19"/>
        <v>1</v>
      </c>
      <c r="J281" t="s">
        <v>296</v>
      </c>
      <c r="K281" t="s">
        <v>470</v>
      </c>
      <c r="L281" t="s">
        <v>623</v>
      </c>
      <c r="M281" t="s">
        <v>674</v>
      </c>
    </row>
    <row r="282" spans="1:13" x14ac:dyDescent="0.35">
      <c r="A282">
        <v>2015</v>
      </c>
      <c r="B282" t="s">
        <v>165</v>
      </c>
      <c r="C282" t="s">
        <v>79</v>
      </c>
      <c r="D282" t="s">
        <v>223</v>
      </c>
      <c r="E282" t="s">
        <v>143</v>
      </c>
      <c r="F282">
        <f t="shared" si="16"/>
        <v>0</v>
      </c>
      <c r="G282">
        <f t="shared" si="17"/>
        <v>0</v>
      </c>
      <c r="H282">
        <f t="shared" si="18"/>
        <v>0</v>
      </c>
      <c r="I282">
        <f t="shared" si="19"/>
        <v>0</v>
      </c>
      <c r="J282" t="s">
        <v>297</v>
      </c>
      <c r="K282" t="s">
        <v>470</v>
      </c>
      <c r="L282" t="s">
        <v>623</v>
      </c>
      <c r="M282" t="s">
        <v>674</v>
      </c>
    </row>
    <row r="283" spans="1:13" x14ac:dyDescent="0.35">
      <c r="A283">
        <v>2014</v>
      </c>
      <c r="B283" t="s">
        <v>165</v>
      </c>
      <c r="C283" t="s">
        <v>79</v>
      </c>
      <c r="D283" t="s">
        <v>223</v>
      </c>
      <c r="E283" t="s">
        <v>143</v>
      </c>
      <c r="F283">
        <f t="shared" si="16"/>
        <v>1</v>
      </c>
      <c r="G283">
        <f t="shared" si="17"/>
        <v>1</v>
      </c>
      <c r="H283">
        <f t="shared" si="18"/>
        <v>1</v>
      </c>
      <c r="I283">
        <f t="shared" si="19"/>
        <v>0</v>
      </c>
      <c r="J283" t="s">
        <v>297</v>
      </c>
      <c r="K283" t="s">
        <v>470</v>
      </c>
      <c r="L283" t="s">
        <v>623</v>
      </c>
      <c r="M283" t="s">
        <v>674</v>
      </c>
    </row>
    <row r="284" spans="1:13" x14ac:dyDescent="0.35">
      <c r="A284">
        <v>2013</v>
      </c>
      <c r="B284" t="s">
        <v>165</v>
      </c>
      <c r="C284" t="s">
        <v>472</v>
      </c>
      <c r="D284" t="s">
        <v>197</v>
      </c>
      <c r="E284" t="s">
        <v>472</v>
      </c>
      <c r="F284">
        <f t="shared" si="16"/>
        <v>0</v>
      </c>
      <c r="G284">
        <f t="shared" si="17"/>
        <v>0</v>
      </c>
      <c r="H284">
        <f t="shared" si="18"/>
        <v>0</v>
      </c>
      <c r="I284">
        <f t="shared" si="19"/>
        <v>0</v>
      </c>
      <c r="J284" t="s">
        <v>297</v>
      </c>
      <c r="K284" t="s">
        <v>471</v>
      </c>
      <c r="L284" t="s">
        <v>623</v>
      </c>
      <c r="M284" t="s">
        <v>669</v>
      </c>
    </row>
    <row r="285" spans="1:13" x14ac:dyDescent="0.35">
      <c r="A285">
        <v>2012</v>
      </c>
      <c r="B285" t="s">
        <v>165</v>
      </c>
      <c r="C285" t="s">
        <v>472</v>
      </c>
      <c r="D285" t="s">
        <v>197</v>
      </c>
      <c r="E285" t="s">
        <v>472</v>
      </c>
      <c r="F285">
        <f t="shared" si="16"/>
        <v>0</v>
      </c>
      <c r="G285">
        <f t="shared" si="17"/>
        <v>0</v>
      </c>
      <c r="H285">
        <f t="shared" si="18"/>
        <v>0</v>
      </c>
      <c r="I285">
        <f t="shared" si="19"/>
        <v>0</v>
      </c>
      <c r="J285" t="s">
        <v>297</v>
      </c>
      <c r="K285" t="s">
        <v>471</v>
      </c>
      <c r="L285" t="s">
        <v>623</v>
      </c>
      <c r="M285" t="s">
        <v>669</v>
      </c>
    </row>
    <row r="286" spans="1:13" x14ac:dyDescent="0.35">
      <c r="A286">
        <v>2011</v>
      </c>
      <c r="B286" t="s">
        <v>165</v>
      </c>
      <c r="C286" t="s">
        <v>472</v>
      </c>
      <c r="D286" t="s">
        <v>197</v>
      </c>
      <c r="E286" t="s">
        <v>472</v>
      </c>
      <c r="F286">
        <f t="shared" si="16"/>
        <v>0</v>
      </c>
      <c r="G286">
        <f t="shared" si="17"/>
        <v>0</v>
      </c>
      <c r="H286">
        <f t="shared" si="18"/>
        <v>0</v>
      </c>
      <c r="I286">
        <f t="shared" si="19"/>
        <v>0</v>
      </c>
      <c r="J286" t="s">
        <v>297</v>
      </c>
      <c r="K286" t="s">
        <v>471</v>
      </c>
      <c r="L286" t="s">
        <v>623</v>
      </c>
      <c r="M286" t="s">
        <v>669</v>
      </c>
    </row>
    <row r="287" spans="1:13" hidden="1" x14ac:dyDescent="0.35">
      <c r="A287">
        <v>2010</v>
      </c>
      <c r="B287" t="s">
        <v>165</v>
      </c>
      <c r="C287" t="s">
        <v>472</v>
      </c>
      <c r="D287" t="s">
        <v>197</v>
      </c>
      <c r="E287" t="s">
        <v>472</v>
      </c>
      <c r="F287">
        <f t="shared" si="16"/>
        <v>0</v>
      </c>
      <c r="G287">
        <f t="shared" si="17"/>
        <v>0</v>
      </c>
      <c r="H287">
        <f t="shared" si="18"/>
        <v>0</v>
      </c>
      <c r="I287">
        <f t="shared" si="19"/>
        <v>0</v>
      </c>
      <c r="J287" t="s">
        <v>297</v>
      </c>
      <c r="K287" t="s">
        <v>471</v>
      </c>
      <c r="L287" t="s">
        <v>623</v>
      </c>
      <c r="M287" t="s">
        <v>669</v>
      </c>
    </row>
    <row r="288" spans="1:13" hidden="1" x14ac:dyDescent="0.35">
      <c r="A288">
        <v>2009</v>
      </c>
      <c r="B288" t="s">
        <v>165</v>
      </c>
      <c r="C288" t="s">
        <v>472</v>
      </c>
      <c r="D288" t="s">
        <v>197</v>
      </c>
      <c r="E288" t="s">
        <v>472</v>
      </c>
      <c r="F288">
        <f t="shared" si="16"/>
        <v>1</v>
      </c>
      <c r="G288">
        <f t="shared" si="17"/>
        <v>1</v>
      </c>
      <c r="H288">
        <f t="shared" si="18"/>
        <v>1</v>
      </c>
      <c r="I288">
        <f t="shared" si="19"/>
        <v>1</v>
      </c>
      <c r="J288" t="s">
        <v>297</v>
      </c>
      <c r="K288" t="s">
        <v>471</v>
      </c>
    </row>
    <row r="289" spans="1:13" hidden="1" x14ac:dyDescent="0.35">
      <c r="A289">
        <v>2008</v>
      </c>
      <c r="B289" t="s">
        <v>165</v>
      </c>
      <c r="C289" t="s">
        <v>473</v>
      </c>
      <c r="D289" t="s">
        <v>474</v>
      </c>
      <c r="E289" t="s">
        <v>214</v>
      </c>
      <c r="F289">
        <f t="shared" si="16"/>
        <v>0</v>
      </c>
      <c r="G289">
        <f t="shared" si="17"/>
        <v>1</v>
      </c>
      <c r="H289">
        <f t="shared" si="18"/>
        <v>0</v>
      </c>
      <c r="I289">
        <f t="shared" si="19"/>
        <v>0</v>
      </c>
      <c r="J289" t="s">
        <v>475</v>
      </c>
      <c r="K289" t="s">
        <v>471</v>
      </c>
      <c r="L289" t="s">
        <v>628</v>
      </c>
    </row>
    <row r="290" spans="1:13" hidden="1" x14ac:dyDescent="0.35">
      <c r="A290">
        <v>2007</v>
      </c>
      <c r="B290" t="s">
        <v>165</v>
      </c>
      <c r="C290" t="s">
        <v>473</v>
      </c>
      <c r="D290" t="s">
        <v>221</v>
      </c>
      <c r="E290" t="s">
        <v>214</v>
      </c>
      <c r="F290">
        <f t="shared" si="16"/>
        <v>0</v>
      </c>
      <c r="G290">
        <f t="shared" si="17"/>
        <v>0</v>
      </c>
      <c r="H290">
        <f t="shared" si="18"/>
        <v>1</v>
      </c>
      <c r="I290">
        <f t="shared" si="19"/>
        <v>0</v>
      </c>
      <c r="J290" t="s">
        <v>475</v>
      </c>
      <c r="K290" t="s">
        <v>471</v>
      </c>
      <c r="L290" t="s">
        <v>221</v>
      </c>
    </row>
    <row r="291" spans="1:13" hidden="1" x14ac:dyDescent="0.35">
      <c r="A291">
        <v>2006</v>
      </c>
      <c r="B291" t="s">
        <v>165</v>
      </c>
      <c r="C291" t="s">
        <v>473</v>
      </c>
      <c r="D291" t="s">
        <v>221</v>
      </c>
      <c r="E291" t="s">
        <v>476</v>
      </c>
      <c r="F291">
        <f t="shared" si="16"/>
        <v>1</v>
      </c>
      <c r="G291">
        <f t="shared" si="17"/>
        <v>1</v>
      </c>
      <c r="H291">
        <f t="shared" si="18"/>
        <v>1</v>
      </c>
      <c r="I291">
        <f t="shared" si="19"/>
        <v>0</v>
      </c>
      <c r="J291" t="s">
        <v>475</v>
      </c>
      <c r="K291" t="s">
        <v>471</v>
      </c>
      <c r="L291" t="s">
        <v>221</v>
      </c>
    </row>
    <row r="292" spans="1:13" hidden="1" x14ac:dyDescent="0.35">
      <c r="A292">
        <v>2005</v>
      </c>
      <c r="B292" t="s">
        <v>165</v>
      </c>
      <c r="C292" t="s">
        <v>477</v>
      </c>
      <c r="D292" t="s">
        <v>85</v>
      </c>
      <c r="E292" t="s">
        <v>114</v>
      </c>
      <c r="F292">
        <f t="shared" si="16"/>
        <v>0</v>
      </c>
      <c r="G292">
        <f t="shared" si="17"/>
        <v>1</v>
      </c>
      <c r="H292">
        <f t="shared" si="18"/>
        <v>0</v>
      </c>
      <c r="I292">
        <f t="shared" si="19"/>
        <v>0</v>
      </c>
      <c r="J292" t="s">
        <v>475</v>
      </c>
      <c r="K292" t="s">
        <v>471</v>
      </c>
      <c r="L292" t="s">
        <v>638</v>
      </c>
    </row>
    <row r="293" spans="1:13" hidden="1" x14ac:dyDescent="0.35">
      <c r="A293">
        <v>2004</v>
      </c>
      <c r="B293" t="s">
        <v>165</v>
      </c>
      <c r="C293" t="s">
        <v>477</v>
      </c>
      <c r="D293" t="s">
        <v>478</v>
      </c>
      <c r="E293" t="s">
        <v>114</v>
      </c>
      <c r="F293">
        <f t="shared" si="16"/>
        <v>0</v>
      </c>
      <c r="G293">
        <f t="shared" si="17"/>
        <v>0</v>
      </c>
      <c r="H293">
        <f t="shared" si="18"/>
        <v>1</v>
      </c>
      <c r="I293">
        <f t="shared" si="19"/>
        <v>0</v>
      </c>
      <c r="J293" t="s">
        <v>475</v>
      </c>
      <c r="K293" t="s">
        <v>471</v>
      </c>
    </row>
    <row r="294" spans="1:13" hidden="1" x14ac:dyDescent="0.35">
      <c r="A294">
        <v>2003</v>
      </c>
      <c r="B294" t="s">
        <v>165</v>
      </c>
      <c r="C294" t="s">
        <v>477</v>
      </c>
      <c r="D294" t="s">
        <v>478</v>
      </c>
      <c r="E294" t="s">
        <v>479</v>
      </c>
      <c r="F294">
        <f t="shared" si="16"/>
        <v>1</v>
      </c>
      <c r="G294">
        <f t="shared" si="17"/>
        <v>1</v>
      </c>
      <c r="H294">
        <f t="shared" si="18"/>
        <v>0</v>
      </c>
      <c r="I294">
        <f t="shared" si="19"/>
        <v>0</v>
      </c>
      <c r="J294" t="s">
        <v>475</v>
      </c>
      <c r="K294" t="s">
        <v>471</v>
      </c>
    </row>
    <row r="295" spans="1:13" hidden="1" x14ac:dyDescent="0.35">
      <c r="A295">
        <v>2002</v>
      </c>
      <c r="B295" t="s">
        <v>165</v>
      </c>
      <c r="C295" t="s">
        <v>55</v>
      </c>
      <c r="D295" t="s">
        <v>448</v>
      </c>
      <c r="E295" t="s">
        <v>479</v>
      </c>
      <c r="F295">
        <f t="shared" si="16"/>
        <v>0</v>
      </c>
      <c r="G295">
        <f t="shared" si="17"/>
        <v>0</v>
      </c>
      <c r="H295">
        <f t="shared" si="18"/>
        <v>1</v>
      </c>
      <c r="I295">
        <f t="shared" si="19"/>
        <v>0</v>
      </c>
      <c r="J295" t="s">
        <v>475</v>
      </c>
      <c r="K295" t="s">
        <v>471</v>
      </c>
      <c r="L295" t="s">
        <v>623</v>
      </c>
    </row>
    <row r="296" spans="1:13" hidden="1" x14ac:dyDescent="0.35">
      <c r="A296">
        <v>2001</v>
      </c>
      <c r="B296" t="s">
        <v>165</v>
      </c>
      <c r="C296" t="s">
        <v>55</v>
      </c>
      <c r="D296" t="s">
        <v>448</v>
      </c>
      <c r="E296" t="s">
        <v>391</v>
      </c>
      <c r="F296">
        <f t="shared" si="16"/>
        <v>1</v>
      </c>
      <c r="G296">
        <f t="shared" si="17"/>
        <v>1</v>
      </c>
      <c r="H296">
        <f t="shared" si="18"/>
        <v>1</v>
      </c>
      <c r="I296">
        <f t="shared" si="19"/>
        <v>1</v>
      </c>
      <c r="J296" t="s">
        <v>475</v>
      </c>
      <c r="K296" t="s">
        <v>471</v>
      </c>
      <c r="L296" t="s">
        <v>623</v>
      </c>
    </row>
    <row r="297" spans="1:13" hidden="1" x14ac:dyDescent="0.35">
      <c r="A297">
        <v>2000</v>
      </c>
      <c r="B297" t="s">
        <v>165</v>
      </c>
      <c r="C297" t="s">
        <v>481</v>
      </c>
      <c r="D297" t="s">
        <v>482</v>
      </c>
      <c r="E297" t="s">
        <v>483</v>
      </c>
      <c r="F297">
        <f t="shared" si="16"/>
        <v>0</v>
      </c>
      <c r="G297">
        <f t="shared" si="17"/>
        <v>0</v>
      </c>
      <c r="H297">
        <f t="shared" si="18"/>
        <v>0</v>
      </c>
      <c r="I297">
        <f t="shared" si="19"/>
        <v>0</v>
      </c>
      <c r="J297" t="s">
        <v>480</v>
      </c>
      <c r="K297" t="s">
        <v>471</v>
      </c>
    </row>
    <row r="298" spans="1:13" hidden="1" x14ac:dyDescent="0.35">
      <c r="A298">
        <v>1999</v>
      </c>
      <c r="B298" t="s">
        <v>165</v>
      </c>
      <c r="C298" t="s">
        <v>481</v>
      </c>
      <c r="D298" t="s">
        <v>482</v>
      </c>
      <c r="E298" t="s">
        <v>483</v>
      </c>
      <c r="F298">
        <f t="shared" si="16"/>
        <v>1</v>
      </c>
      <c r="G298">
        <f t="shared" si="17"/>
        <v>1</v>
      </c>
      <c r="H298">
        <f t="shared" si="18"/>
        <v>1</v>
      </c>
      <c r="I298">
        <f t="shared" si="19"/>
        <v>1</v>
      </c>
      <c r="J298" t="s">
        <v>480</v>
      </c>
      <c r="K298" t="s">
        <v>471</v>
      </c>
    </row>
    <row r="299" spans="1:13" x14ac:dyDescent="0.35">
      <c r="A299">
        <v>2025</v>
      </c>
      <c r="B299" t="s">
        <v>181</v>
      </c>
      <c r="C299" t="s">
        <v>60</v>
      </c>
      <c r="D299" t="s">
        <v>60</v>
      </c>
      <c r="E299" t="s">
        <v>672</v>
      </c>
      <c r="F299">
        <f t="shared" si="16"/>
        <v>0</v>
      </c>
      <c r="G299">
        <f t="shared" si="17"/>
        <v>0</v>
      </c>
      <c r="H299">
        <f t="shared" si="18"/>
        <v>0</v>
      </c>
      <c r="I299">
        <f t="shared" si="19"/>
        <v>0</v>
      </c>
      <c r="J299" t="s">
        <v>291</v>
      </c>
      <c r="K299" t="s">
        <v>484</v>
      </c>
      <c r="L299" t="s">
        <v>627</v>
      </c>
      <c r="M299" t="s">
        <v>667</v>
      </c>
    </row>
    <row r="300" spans="1:13" x14ac:dyDescent="0.35">
      <c r="A300">
        <v>2024</v>
      </c>
      <c r="B300" t="s">
        <v>181</v>
      </c>
      <c r="C300" t="s">
        <v>60</v>
      </c>
      <c r="D300" t="s">
        <v>60</v>
      </c>
      <c r="E300" t="s">
        <v>672</v>
      </c>
      <c r="F300">
        <f t="shared" si="16"/>
        <v>0</v>
      </c>
      <c r="G300">
        <f t="shared" si="17"/>
        <v>0</v>
      </c>
      <c r="H300">
        <f t="shared" si="18"/>
        <v>1</v>
      </c>
      <c r="I300">
        <f t="shared" si="19"/>
        <v>0</v>
      </c>
      <c r="J300" t="s">
        <v>291</v>
      </c>
      <c r="K300" t="s">
        <v>484</v>
      </c>
      <c r="L300" t="s">
        <v>627</v>
      </c>
      <c r="M300" t="s">
        <v>667</v>
      </c>
    </row>
    <row r="301" spans="1:13" x14ac:dyDescent="0.35">
      <c r="A301">
        <v>2023</v>
      </c>
      <c r="B301" t="s">
        <v>181</v>
      </c>
      <c r="C301" t="s">
        <v>60</v>
      </c>
      <c r="D301" t="s">
        <v>60</v>
      </c>
      <c r="E301" t="s">
        <v>214</v>
      </c>
      <c r="F301">
        <f t="shared" si="16"/>
        <v>0</v>
      </c>
      <c r="G301">
        <f t="shared" si="17"/>
        <v>0</v>
      </c>
      <c r="H301">
        <f t="shared" si="18"/>
        <v>0</v>
      </c>
      <c r="I301">
        <f t="shared" si="19"/>
        <v>0</v>
      </c>
      <c r="J301" t="s">
        <v>291</v>
      </c>
      <c r="K301" t="s">
        <v>484</v>
      </c>
      <c r="L301" t="s">
        <v>627</v>
      </c>
      <c r="M301" t="s">
        <v>667</v>
      </c>
    </row>
    <row r="302" spans="1:13" x14ac:dyDescent="0.35">
      <c r="A302">
        <v>2022</v>
      </c>
      <c r="B302" t="s">
        <v>181</v>
      </c>
      <c r="C302" t="s">
        <v>60</v>
      </c>
      <c r="D302" t="s">
        <v>60</v>
      </c>
      <c r="E302" t="s">
        <v>214</v>
      </c>
      <c r="F302">
        <f t="shared" si="16"/>
        <v>0</v>
      </c>
      <c r="G302">
        <f t="shared" si="17"/>
        <v>0</v>
      </c>
      <c r="H302">
        <f t="shared" si="18"/>
        <v>0</v>
      </c>
      <c r="I302">
        <f t="shared" si="19"/>
        <v>0</v>
      </c>
      <c r="J302" t="s">
        <v>291</v>
      </c>
      <c r="K302" t="s">
        <v>484</v>
      </c>
      <c r="L302" t="s">
        <v>627</v>
      </c>
      <c r="M302" t="s">
        <v>667</v>
      </c>
    </row>
    <row r="303" spans="1:13" x14ac:dyDescent="0.35">
      <c r="A303">
        <v>2021</v>
      </c>
      <c r="B303" t="s">
        <v>181</v>
      </c>
      <c r="C303" t="s">
        <v>60</v>
      </c>
      <c r="D303" t="s">
        <v>60</v>
      </c>
      <c r="E303" t="s">
        <v>214</v>
      </c>
      <c r="F303">
        <f t="shared" si="16"/>
        <v>0</v>
      </c>
      <c r="G303">
        <f t="shared" si="17"/>
        <v>0</v>
      </c>
      <c r="H303">
        <f t="shared" si="18"/>
        <v>1</v>
      </c>
      <c r="I303">
        <f t="shared" si="19"/>
        <v>0</v>
      </c>
      <c r="J303" t="s">
        <v>291</v>
      </c>
      <c r="K303" t="s">
        <v>484</v>
      </c>
      <c r="L303" t="s">
        <v>627</v>
      </c>
      <c r="M303" t="s">
        <v>667</v>
      </c>
    </row>
    <row r="304" spans="1:13" x14ac:dyDescent="0.35">
      <c r="A304">
        <v>2020</v>
      </c>
      <c r="B304" t="s">
        <v>181</v>
      </c>
      <c r="C304" t="s">
        <v>60</v>
      </c>
      <c r="D304" t="s">
        <v>60</v>
      </c>
      <c r="E304" t="s">
        <v>17</v>
      </c>
      <c r="F304">
        <f t="shared" si="16"/>
        <v>0</v>
      </c>
      <c r="G304">
        <f t="shared" si="17"/>
        <v>0</v>
      </c>
      <c r="H304">
        <f t="shared" si="18"/>
        <v>0</v>
      </c>
      <c r="I304">
        <f t="shared" si="19"/>
        <v>0</v>
      </c>
      <c r="J304" t="s">
        <v>291</v>
      </c>
      <c r="K304" t="s">
        <v>484</v>
      </c>
      <c r="L304" t="s">
        <v>627</v>
      </c>
      <c r="M304" t="s">
        <v>670</v>
      </c>
    </row>
    <row r="305" spans="1:13" x14ac:dyDescent="0.35">
      <c r="A305">
        <v>2019</v>
      </c>
      <c r="B305" t="s">
        <v>181</v>
      </c>
      <c r="C305" t="s">
        <v>60</v>
      </c>
      <c r="D305" t="s">
        <v>60</v>
      </c>
      <c r="E305" t="s">
        <v>17</v>
      </c>
      <c r="F305">
        <f t="shared" si="16"/>
        <v>1</v>
      </c>
      <c r="G305">
        <f t="shared" si="17"/>
        <v>1</v>
      </c>
      <c r="H305">
        <f t="shared" si="18"/>
        <v>0</v>
      </c>
      <c r="I305">
        <f t="shared" si="19"/>
        <v>0</v>
      </c>
      <c r="J305" t="s">
        <v>291</v>
      </c>
      <c r="K305" t="s">
        <v>484</v>
      </c>
      <c r="L305" t="s">
        <v>627</v>
      </c>
      <c r="M305" t="s">
        <v>670</v>
      </c>
    </row>
    <row r="306" spans="1:13" x14ac:dyDescent="0.35">
      <c r="A306">
        <v>2018</v>
      </c>
      <c r="B306" t="s">
        <v>181</v>
      </c>
      <c r="C306" t="s">
        <v>194</v>
      </c>
      <c r="D306" t="s">
        <v>194</v>
      </c>
      <c r="E306" t="s">
        <v>17</v>
      </c>
      <c r="F306">
        <f t="shared" si="16"/>
        <v>0</v>
      </c>
      <c r="G306">
        <f t="shared" si="17"/>
        <v>0</v>
      </c>
      <c r="H306">
        <f t="shared" si="18"/>
        <v>0</v>
      </c>
      <c r="I306">
        <f t="shared" si="19"/>
        <v>1</v>
      </c>
      <c r="J306" t="s">
        <v>291</v>
      </c>
      <c r="K306" t="s">
        <v>484</v>
      </c>
      <c r="L306" t="s">
        <v>631</v>
      </c>
      <c r="M306" t="s">
        <v>670</v>
      </c>
    </row>
    <row r="307" spans="1:13" x14ac:dyDescent="0.35">
      <c r="A307">
        <v>2017</v>
      </c>
      <c r="B307" t="s">
        <v>181</v>
      </c>
      <c r="C307" t="s">
        <v>194</v>
      </c>
      <c r="D307" t="s">
        <v>194</v>
      </c>
      <c r="E307" t="s">
        <v>17</v>
      </c>
      <c r="F307">
        <f t="shared" si="16"/>
        <v>0</v>
      </c>
      <c r="G307">
        <f t="shared" si="17"/>
        <v>0</v>
      </c>
      <c r="H307">
        <f t="shared" si="18"/>
        <v>1</v>
      </c>
      <c r="I307">
        <f t="shared" si="19"/>
        <v>0</v>
      </c>
      <c r="J307" t="s">
        <v>292</v>
      </c>
      <c r="K307" t="s">
        <v>484</v>
      </c>
      <c r="L307" t="s">
        <v>631</v>
      </c>
      <c r="M307" t="s">
        <v>670</v>
      </c>
    </row>
    <row r="308" spans="1:13" x14ac:dyDescent="0.35">
      <c r="A308">
        <v>2016</v>
      </c>
      <c r="B308" t="s">
        <v>181</v>
      </c>
      <c r="C308" t="s">
        <v>194</v>
      </c>
      <c r="D308" t="s">
        <v>194</v>
      </c>
      <c r="E308" t="s">
        <v>217</v>
      </c>
      <c r="F308">
        <f t="shared" si="16"/>
        <v>0</v>
      </c>
      <c r="G308">
        <f t="shared" si="17"/>
        <v>0</v>
      </c>
      <c r="H308">
        <f t="shared" si="18"/>
        <v>0</v>
      </c>
      <c r="I308">
        <f t="shared" si="19"/>
        <v>0</v>
      </c>
      <c r="J308" t="s">
        <v>292</v>
      </c>
      <c r="K308" t="s">
        <v>484</v>
      </c>
      <c r="L308" t="s">
        <v>631</v>
      </c>
      <c r="M308" t="s">
        <v>674</v>
      </c>
    </row>
    <row r="309" spans="1:13" x14ac:dyDescent="0.35">
      <c r="A309">
        <v>2015</v>
      </c>
      <c r="B309" t="s">
        <v>181</v>
      </c>
      <c r="C309" t="s">
        <v>194</v>
      </c>
      <c r="D309" t="s">
        <v>194</v>
      </c>
      <c r="E309" t="s">
        <v>217</v>
      </c>
      <c r="F309">
        <f t="shared" si="16"/>
        <v>0</v>
      </c>
      <c r="G309">
        <f t="shared" si="17"/>
        <v>0</v>
      </c>
      <c r="H309">
        <f t="shared" si="18"/>
        <v>0</v>
      </c>
      <c r="I309">
        <f t="shared" si="19"/>
        <v>0</v>
      </c>
      <c r="J309" t="s">
        <v>292</v>
      </c>
      <c r="K309" t="s">
        <v>484</v>
      </c>
      <c r="L309" t="s">
        <v>631</v>
      </c>
      <c r="M309" t="s">
        <v>674</v>
      </c>
    </row>
    <row r="310" spans="1:13" x14ac:dyDescent="0.35">
      <c r="A310">
        <v>2014</v>
      </c>
      <c r="B310" t="s">
        <v>181</v>
      </c>
      <c r="C310" t="s">
        <v>194</v>
      </c>
      <c r="D310" t="s">
        <v>194</v>
      </c>
      <c r="E310" t="s">
        <v>217</v>
      </c>
      <c r="F310">
        <f t="shared" si="16"/>
        <v>0</v>
      </c>
      <c r="G310">
        <f t="shared" si="17"/>
        <v>0</v>
      </c>
      <c r="H310">
        <f t="shared" si="18"/>
        <v>0</v>
      </c>
      <c r="I310">
        <f t="shared" si="19"/>
        <v>0</v>
      </c>
      <c r="J310" t="s">
        <v>292</v>
      </c>
      <c r="K310" t="s">
        <v>484</v>
      </c>
      <c r="L310" t="s">
        <v>631</v>
      </c>
      <c r="M310" t="s">
        <v>674</v>
      </c>
    </row>
    <row r="311" spans="1:13" x14ac:dyDescent="0.35">
      <c r="A311">
        <v>2013</v>
      </c>
      <c r="B311" t="s">
        <v>181</v>
      </c>
      <c r="C311" t="s">
        <v>194</v>
      </c>
      <c r="D311" t="s">
        <v>194</v>
      </c>
      <c r="E311" t="s">
        <v>217</v>
      </c>
      <c r="F311">
        <f t="shared" si="16"/>
        <v>0</v>
      </c>
      <c r="G311">
        <f t="shared" si="17"/>
        <v>0</v>
      </c>
      <c r="H311">
        <f t="shared" si="18"/>
        <v>0</v>
      </c>
      <c r="I311">
        <f t="shared" si="19"/>
        <v>0</v>
      </c>
      <c r="J311" t="s">
        <v>292</v>
      </c>
      <c r="K311" t="s">
        <v>484</v>
      </c>
      <c r="L311" t="s">
        <v>631</v>
      </c>
      <c r="M311" t="s">
        <v>674</v>
      </c>
    </row>
    <row r="312" spans="1:13" x14ac:dyDescent="0.35">
      <c r="A312">
        <v>2012</v>
      </c>
      <c r="B312" t="s">
        <v>181</v>
      </c>
      <c r="C312" t="s">
        <v>194</v>
      </c>
      <c r="D312" t="s">
        <v>194</v>
      </c>
      <c r="E312" t="s">
        <v>217</v>
      </c>
      <c r="F312">
        <f t="shared" si="16"/>
        <v>0</v>
      </c>
      <c r="G312">
        <f t="shared" si="17"/>
        <v>0</v>
      </c>
      <c r="H312">
        <f t="shared" si="18"/>
        <v>0</v>
      </c>
      <c r="I312">
        <f t="shared" si="19"/>
        <v>0</v>
      </c>
      <c r="J312" t="s">
        <v>292</v>
      </c>
      <c r="K312" t="s">
        <v>484</v>
      </c>
      <c r="L312" t="s">
        <v>631</v>
      </c>
      <c r="M312" t="s">
        <v>674</v>
      </c>
    </row>
    <row r="313" spans="1:13" x14ac:dyDescent="0.35">
      <c r="A313">
        <v>2011</v>
      </c>
      <c r="B313" t="s">
        <v>181</v>
      </c>
      <c r="C313" t="s">
        <v>194</v>
      </c>
      <c r="D313" t="s">
        <v>194</v>
      </c>
      <c r="E313" t="s">
        <v>217</v>
      </c>
      <c r="F313">
        <f t="shared" si="16"/>
        <v>0</v>
      </c>
      <c r="G313">
        <f t="shared" si="17"/>
        <v>0</v>
      </c>
      <c r="H313">
        <f t="shared" si="18"/>
        <v>0</v>
      </c>
      <c r="I313">
        <f t="shared" si="19"/>
        <v>0</v>
      </c>
      <c r="J313" t="s">
        <v>292</v>
      </c>
      <c r="K313" t="s">
        <v>484</v>
      </c>
      <c r="L313" t="s">
        <v>631</v>
      </c>
      <c r="M313" t="s">
        <v>674</v>
      </c>
    </row>
    <row r="314" spans="1:13" hidden="1" x14ac:dyDescent="0.35">
      <c r="A314">
        <v>2010</v>
      </c>
      <c r="B314" t="s">
        <v>181</v>
      </c>
      <c r="C314" t="s">
        <v>194</v>
      </c>
      <c r="D314" t="s">
        <v>194</v>
      </c>
      <c r="E314" t="s">
        <v>217</v>
      </c>
      <c r="F314">
        <f t="shared" si="16"/>
        <v>0</v>
      </c>
      <c r="G314">
        <f t="shared" si="17"/>
        <v>0</v>
      </c>
      <c r="H314">
        <f t="shared" si="18"/>
        <v>0</v>
      </c>
      <c r="I314">
        <f t="shared" si="19"/>
        <v>0</v>
      </c>
      <c r="J314" t="s">
        <v>292</v>
      </c>
      <c r="K314" t="s">
        <v>484</v>
      </c>
      <c r="L314" t="s">
        <v>631</v>
      </c>
      <c r="M314" t="s">
        <v>674</v>
      </c>
    </row>
    <row r="315" spans="1:13" hidden="1" x14ac:dyDescent="0.35">
      <c r="A315">
        <v>2009</v>
      </c>
      <c r="B315" t="s">
        <v>181</v>
      </c>
      <c r="C315" t="s">
        <v>194</v>
      </c>
      <c r="D315" t="s">
        <v>194</v>
      </c>
      <c r="E315" t="s">
        <v>217</v>
      </c>
      <c r="F315">
        <f t="shared" si="16"/>
        <v>0</v>
      </c>
      <c r="G315">
        <f t="shared" si="17"/>
        <v>0</v>
      </c>
      <c r="H315">
        <f t="shared" si="18"/>
        <v>1</v>
      </c>
      <c r="I315">
        <f t="shared" si="19"/>
        <v>0</v>
      </c>
      <c r="J315" t="s">
        <v>292</v>
      </c>
      <c r="K315" t="s">
        <v>484</v>
      </c>
      <c r="L315" t="s">
        <v>621</v>
      </c>
    </row>
    <row r="316" spans="1:13" hidden="1" x14ac:dyDescent="0.35">
      <c r="A316">
        <v>2008</v>
      </c>
      <c r="B316" t="s">
        <v>181</v>
      </c>
      <c r="C316" t="s">
        <v>194</v>
      </c>
      <c r="D316" t="s">
        <v>194</v>
      </c>
      <c r="E316" t="s">
        <v>487</v>
      </c>
      <c r="F316">
        <f t="shared" si="16"/>
        <v>0</v>
      </c>
      <c r="G316">
        <f t="shared" si="17"/>
        <v>0</v>
      </c>
      <c r="H316">
        <f t="shared" si="18"/>
        <v>0</v>
      </c>
      <c r="I316">
        <f t="shared" si="19"/>
        <v>0</v>
      </c>
      <c r="J316" t="s">
        <v>292</v>
      </c>
      <c r="K316" t="s">
        <v>484</v>
      </c>
      <c r="L316" t="s">
        <v>621</v>
      </c>
    </row>
    <row r="317" spans="1:13" hidden="1" x14ac:dyDescent="0.35">
      <c r="A317">
        <v>2007</v>
      </c>
      <c r="B317" t="s">
        <v>181</v>
      </c>
      <c r="C317" t="s">
        <v>194</v>
      </c>
      <c r="D317" t="s">
        <v>194</v>
      </c>
      <c r="E317" t="s">
        <v>487</v>
      </c>
      <c r="F317">
        <f t="shared" si="16"/>
        <v>0</v>
      </c>
      <c r="G317">
        <f t="shared" si="17"/>
        <v>0</v>
      </c>
      <c r="H317">
        <f t="shared" si="18"/>
        <v>0</v>
      </c>
      <c r="I317">
        <f t="shared" si="19"/>
        <v>0</v>
      </c>
      <c r="J317" t="s">
        <v>292</v>
      </c>
      <c r="K317" t="s">
        <v>485</v>
      </c>
      <c r="L317" t="s">
        <v>621</v>
      </c>
    </row>
    <row r="318" spans="1:13" hidden="1" x14ac:dyDescent="0.35">
      <c r="A318">
        <v>2006</v>
      </c>
      <c r="B318" t="s">
        <v>181</v>
      </c>
      <c r="C318" t="s">
        <v>194</v>
      </c>
      <c r="D318" t="s">
        <v>194</v>
      </c>
      <c r="E318" t="s">
        <v>487</v>
      </c>
      <c r="F318">
        <f t="shared" si="16"/>
        <v>1</v>
      </c>
      <c r="G318">
        <f t="shared" si="17"/>
        <v>1</v>
      </c>
      <c r="H318">
        <f t="shared" si="18"/>
        <v>1</v>
      </c>
      <c r="I318">
        <f t="shared" si="19"/>
        <v>0</v>
      </c>
      <c r="J318" t="s">
        <v>292</v>
      </c>
      <c r="K318" t="s">
        <v>485</v>
      </c>
      <c r="L318" t="s">
        <v>621</v>
      </c>
    </row>
    <row r="319" spans="1:13" hidden="1" x14ac:dyDescent="0.35">
      <c r="A319">
        <v>2005</v>
      </c>
      <c r="B319" t="s">
        <v>181</v>
      </c>
      <c r="C319" t="s">
        <v>46</v>
      </c>
      <c r="D319" t="s">
        <v>488</v>
      </c>
      <c r="E319" t="s">
        <v>489</v>
      </c>
      <c r="F319">
        <f t="shared" si="16"/>
        <v>0</v>
      </c>
      <c r="G319">
        <f t="shared" si="17"/>
        <v>0</v>
      </c>
      <c r="H319">
        <f t="shared" si="18"/>
        <v>1</v>
      </c>
      <c r="I319">
        <f t="shared" si="19"/>
        <v>1</v>
      </c>
      <c r="J319" t="s">
        <v>292</v>
      </c>
      <c r="K319" t="s">
        <v>485</v>
      </c>
    </row>
    <row r="320" spans="1:13" hidden="1" x14ac:dyDescent="0.35">
      <c r="A320">
        <v>2004</v>
      </c>
      <c r="B320" t="s">
        <v>181</v>
      </c>
      <c r="C320" t="s">
        <v>46</v>
      </c>
      <c r="D320" t="s">
        <v>488</v>
      </c>
      <c r="E320" t="s">
        <v>454</v>
      </c>
      <c r="F320">
        <f t="shared" si="16"/>
        <v>0</v>
      </c>
      <c r="G320">
        <f t="shared" si="17"/>
        <v>0</v>
      </c>
      <c r="H320">
        <f t="shared" si="18"/>
        <v>1</v>
      </c>
      <c r="I320">
        <f t="shared" si="19"/>
        <v>0</v>
      </c>
      <c r="J320" t="s">
        <v>46</v>
      </c>
      <c r="K320" t="s">
        <v>485</v>
      </c>
    </row>
    <row r="321" spans="1:13" hidden="1" x14ac:dyDescent="0.35">
      <c r="A321">
        <v>2003</v>
      </c>
      <c r="B321" t="s">
        <v>181</v>
      </c>
      <c r="C321" t="s">
        <v>46</v>
      </c>
      <c r="D321" t="s">
        <v>488</v>
      </c>
      <c r="E321" t="s">
        <v>396</v>
      </c>
      <c r="F321">
        <f t="shared" si="16"/>
        <v>0</v>
      </c>
      <c r="G321">
        <f t="shared" si="17"/>
        <v>0</v>
      </c>
      <c r="H321">
        <f t="shared" si="18"/>
        <v>0</v>
      </c>
      <c r="I321">
        <f t="shared" si="19"/>
        <v>0</v>
      </c>
      <c r="J321" t="s">
        <v>46</v>
      </c>
      <c r="K321" t="s">
        <v>485</v>
      </c>
    </row>
    <row r="322" spans="1:13" hidden="1" x14ac:dyDescent="0.35">
      <c r="A322">
        <v>2002</v>
      </c>
      <c r="B322" t="s">
        <v>181</v>
      </c>
      <c r="C322" t="s">
        <v>46</v>
      </c>
      <c r="D322" t="s">
        <v>488</v>
      </c>
      <c r="E322" t="s">
        <v>396</v>
      </c>
      <c r="F322">
        <f t="shared" ref="F322:F385" si="20">IF(C322=C323,0,1)</f>
        <v>0</v>
      </c>
      <c r="G322">
        <f t="shared" ref="G322:G385" si="21">IF(D322=D323,0,1)</f>
        <v>0</v>
      </c>
      <c r="H322">
        <f t="shared" ref="H322:H385" si="22">IF(E322=E323,0,1)</f>
        <v>0</v>
      </c>
      <c r="I322">
        <f t="shared" ref="I322:I385" si="23">IF(J322=J323,0,1)</f>
        <v>0</v>
      </c>
      <c r="J322" t="s">
        <v>46</v>
      </c>
      <c r="K322" t="s">
        <v>485</v>
      </c>
    </row>
    <row r="323" spans="1:13" hidden="1" x14ac:dyDescent="0.35">
      <c r="A323">
        <v>2001</v>
      </c>
      <c r="B323" t="s">
        <v>181</v>
      </c>
      <c r="C323" t="s">
        <v>46</v>
      </c>
      <c r="D323" t="s">
        <v>488</v>
      </c>
      <c r="E323" t="s">
        <v>396</v>
      </c>
      <c r="F323">
        <f t="shared" si="20"/>
        <v>0</v>
      </c>
      <c r="G323">
        <f t="shared" si="21"/>
        <v>0</v>
      </c>
      <c r="H323">
        <f t="shared" si="22"/>
        <v>0</v>
      </c>
      <c r="I323">
        <f t="shared" si="23"/>
        <v>1</v>
      </c>
      <c r="J323" t="s">
        <v>46</v>
      </c>
      <c r="K323" t="s">
        <v>485</v>
      </c>
    </row>
    <row r="324" spans="1:13" hidden="1" x14ac:dyDescent="0.35">
      <c r="A324">
        <v>2000</v>
      </c>
      <c r="B324" t="s">
        <v>181</v>
      </c>
      <c r="C324" t="s">
        <v>46</v>
      </c>
      <c r="D324" t="s">
        <v>488</v>
      </c>
      <c r="E324" t="s">
        <v>396</v>
      </c>
      <c r="F324">
        <f t="shared" si="20"/>
        <v>1</v>
      </c>
      <c r="G324">
        <f t="shared" si="21"/>
        <v>1</v>
      </c>
      <c r="H324">
        <f t="shared" si="22"/>
        <v>1</v>
      </c>
      <c r="I324">
        <f t="shared" si="23"/>
        <v>0</v>
      </c>
      <c r="J324" t="s">
        <v>486</v>
      </c>
      <c r="K324" t="s">
        <v>485</v>
      </c>
    </row>
    <row r="325" spans="1:13" hidden="1" x14ac:dyDescent="0.35">
      <c r="A325">
        <v>1999</v>
      </c>
      <c r="B325" t="s">
        <v>181</v>
      </c>
      <c r="C325" t="s">
        <v>463</v>
      </c>
      <c r="D325" t="s">
        <v>478</v>
      </c>
      <c r="E325" t="s">
        <v>490</v>
      </c>
      <c r="F325">
        <f t="shared" si="20"/>
        <v>1</v>
      </c>
      <c r="G325">
        <f t="shared" si="21"/>
        <v>1</v>
      </c>
      <c r="H325">
        <f t="shared" si="22"/>
        <v>1</v>
      </c>
      <c r="I325">
        <f t="shared" si="23"/>
        <v>1</v>
      </c>
      <c r="J325" t="s">
        <v>486</v>
      </c>
      <c r="K325" t="s">
        <v>485</v>
      </c>
    </row>
    <row r="326" spans="1:13" x14ac:dyDescent="0.35">
      <c r="A326">
        <v>2025</v>
      </c>
      <c r="B326" t="s">
        <v>92</v>
      </c>
      <c r="C326" t="s">
        <v>593</v>
      </c>
      <c r="D326" t="s">
        <v>689</v>
      </c>
      <c r="E326" t="s">
        <v>593</v>
      </c>
      <c r="F326">
        <f t="shared" si="20"/>
        <v>0</v>
      </c>
      <c r="G326">
        <f t="shared" si="21"/>
        <v>1</v>
      </c>
      <c r="H326">
        <f t="shared" si="22"/>
        <v>0</v>
      </c>
      <c r="I326">
        <f t="shared" si="23"/>
        <v>0</v>
      </c>
      <c r="J326" t="s">
        <v>493</v>
      </c>
      <c r="K326" t="s">
        <v>494</v>
      </c>
      <c r="L326" t="s">
        <v>626</v>
      </c>
      <c r="M326" t="s">
        <v>667</v>
      </c>
    </row>
    <row r="327" spans="1:13" x14ac:dyDescent="0.35">
      <c r="A327">
        <v>2024</v>
      </c>
      <c r="B327" t="s">
        <v>92</v>
      </c>
      <c r="C327" t="s">
        <v>593</v>
      </c>
      <c r="D327" t="s">
        <v>658</v>
      </c>
      <c r="E327" t="s">
        <v>593</v>
      </c>
      <c r="F327">
        <f t="shared" si="20"/>
        <v>0</v>
      </c>
      <c r="G327">
        <f t="shared" si="21"/>
        <v>0</v>
      </c>
      <c r="H327">
        <f t="shared" si="22"/>
        <v>0</v>
      </c>
      <c r="I327">
        <f t="shared" si="23"/>
        <v>0</v>
      </c>
      <c r="J327" t="s">
        <v>493</v>
      </c>
      <c r="K327" t="s">
        <v>494</v>
      </c>
      <c r="L327" t="s">
        <v>626</v>
      </c>
      <c r="M327" t="s">
        <v>667</v>
      </c>
    </row>
    <row r="328" spans="1:13" x14ac:dyDescent="0.35">
      <c r="A328">
        <v>2023</v>
      </c>
      <c r="B328" t="s">
        <v>92</v>
      </c>
      <c r="C328" t="s">
        <v>593</v>
      </c>
      <c r="D328" t="s">
        <v>658</v>
      </c>
      <c r="E328" t="s">
        <v>593</v>
      </c>
      <c r="F328">
        <f t="shared" si="20"/>
        <v>1</v>
      </c>
      <c r="G328">
        <f t="shared" si="21"/>
        <v>1</v>
      </c>
      <c r="H328">
        <f t="shared" si="22"/>
        <v>1</v>
      </c>
      <c r="I328">
        <f t="shared" si="23"/>
        <v>0</v>
      </c>
      <c r="J328" t="s">
        <v>493</v>
      </c>
      <c r="K328" t="s">
        <v>494</v>
      </c>
      <c r="L328" t="s">
        <v>626</v>
      </c>
      <c r="M328" t="s">
        <v>667</v>
      </c>
    </row>
    <row r="329" spans="1:13" x14ac:dyDescent="0.35">
      <c r="A329">
        <v>2022</v>
      </c>
      <c r="B329" t="s">
        <v>92</v>
      </c>
      <c r="C329" t="s">
        <v>218</v>
      </c>
      <c r="D329" t="s">
        <v>77</v>
      </c>
      <c r="E329" t="s">
        <v>218</v>
      </c>
      <c r="F329">
        <f t="shared" si="20"/>
        <v>1</v>
      </c>
      <c r="G329">
        <f t="shared" si="21"/>
        <v>1</v>
      </c>
      <c r="H329">
        <f t="shared" si="22"/>
        <v>0</v>
      </c>
      <c r="I329">
        <f t="shared" si="23"/>
        <v>0</v>
      </c>
      <c r="J329" t="s">
        <v>493</v>
      </c>
      <c r="K329" t="s">
        <v>494</v>
      </c>
      <c r="L329" t="s">
        <v>629</v>
      </c>
      <c r="M329" t="s">
        <v>665</v>
      </c>
    </row>
    <row r="330" spans="1:13" x14ac:dyDescent="0.35">
      <c r="A330">
        <v>2021</v>
      </c>
      <c r="B330" t="s">
        <v>92</v>
      </c>
      <c r="C330" t="s">
        <v>491</v>
      </c>
      <c r="D330" t="s">
        <v>492</v>
      </c>
      <c r="E330" t="s">
        <v>218</v>
      </c>
      <c r="F330">
        <f t="shared" si="20"/>
        <v>1</v>
      </c>
      <c r="G330">
        <f t="shared" si="21"/>
        <v>0</v>
      </c>
      <c r="H330">
        <f t="shared" si="22"/>
        <v>1</v>
      </c>
      <c r="I330">
        <f t="shared" si="23"/>
        <v>1</v>
      </c>
      <c r="J330" t="s">
        <v>493</v>
      </c>
      <c r="K330" t="s">
        <v>494</v>
      </c>
      <c r="L330" t="s">
        <v>626</v>
      </c>
      <c r="M330" t="s">
        <v>665</v>
      </c>
    </row>
    <row r="331" spans="1:13" x14ac:dyDescent="0.35">
      <c r="A331">
        <v>2020</v>
      </c>
      <c r="B331" t="s">
        <v>92</v>
      </c>
      <c r="C331" t="s">
        <v>26</v>
      </c>
      <c r="D331" t="s">
        <v>492</v>
      </c>
      <c r="E331" t="s">
        <v>93</v>
      </c>
      <c r="F331">
        <f t="shared" si="20"/>
        <v>0</v>
      </c>
      <c r="G331">
        <f t="shared" si="21"/>
        <v>1</v>
      </c>
      <c r="H331">
        <f t="shared" si="22"/>
        <v>1</v>
      </c>
      <c r="I331">
        <f t="shared" si="23"/>
        <v>0</v>
      </c>
      <c r="J331" t="s">
        <v>26</v>
      </c>
      <c r="K331" t="s">
        <v>494</v>
      </c>
      <c r="L331" t="s">
        <v>629</v>
      </c>
      <c r="M331" t="s">
        <v>669</v>
      </c>
    </row>
    <row r="332" spans="1:13" x14ac:dyDescent="0.35">
      <c r="A332">
        <v>2019</v>
      </c>
      <c r="B332" t="s">
        <v>92</v>
      </c>
      <c r="C332" t="s">
        <v>26</v>
      </c>
      <c r="D332" t="s">
        <v>26</v>
      </c>
      <c r="E332" t="s">
        <v>94</v>
      </c>
      <c r="F332">
        <f t="shared" si="20"/>
        <v>0</v>
      </c>
      <c r="G332">
        <f t="shared" si="21"/>
        <v>0</v>
      </c>
      <c r="H332">
        <f t="shared" si="22"/>
        <v>0</v>
      </c>
      <c r="I332">
        <f t="shared" si="23"/>
        <v>1</v>
      </c>
      <c r="J332" t="s">
        <v>26</v>
      </c>
      <c r="K332" t="s">
        <v>494</v>
      </c>
      <c r="L332" t="s">
        <v>629</v>
      </c>
      <c r="M332" t="s">
        <v>669</v>
      </c>
    </row>
    <row r="333" spans="1:13" x14ac:dyDescent="0.35">
      <c r="A333">
        <v>2018</v>
      </c>
      <c r="B333" t="s">
        <v>92</v>
      </c>
      <c r="C333" t="s">
        <v>26</v>
      </c>
      <c r="D333" t="s">
        <v>26</v>
      </c>
      <c r="E333" t="s">
        <v>94</v>
      </c>
      <c r="F333">
        <f t="shared" si="20"/>
        <v>0</v>
      </c>
      <c r="G333">
        <f t="shared" si="21"/>
        <v>0</v>
      </c>
      <c r="H333">
        <f t="shared" si="22"/>
        <v>1</v>
      </c>
      <c r="I333">
        <f t="shared" si="23"/>
        <v>1</v>
      </c>
      <c r="J333" t="s">
        <v>268</v>
      </c>
      <c r="K333" t="s">
        <v>495</v>
      </c>
      <c r="L333" t="s">
        <v>629</v>
      </c>
      <c r="M333" t="s">
        <v>669</v>
      </c>
    </row>
    <row r="334" spans="1:13" x14ac:dyDescent="0.35">
      <c r="A334">
        <v>2017</v>
      </c>
      <c r="B334" t="s">
        <v>92</v>
      </c>
      <c r="C334" t="s">
        <v>26</v>
      </c>
      <c r="D334" t="s">
        <v>26</v>
      </c>
      <c r="E334" t="s">
        <v>57</v>
      </c>
      <c r="F334">
        <f t="shared" si="20"/>
        <v>0</v>
      </c>
      <c r="G334">
        <f t="shared" si="21"/>
        <v>0</v>
      </c>
      <c r="H334">
        <f t="shared" si="22"/>
        <v>1</v>
      </c>
      <c r="I334">
        <f t="shared" si="23"/>
        <v>0</v>
      </c>
      <c r="J334" t="s">
        <v>269</v>
      </c>
      <c r="K334" t="s">
        <v>495</v>
      </c>
      <c r="L334" t="s">
        <v>629</v>
      </c>
      <c r="M334" t="s">
        <v>671</v>
      </c>
    </row>
    <row r="335" spans="1:13" x14ac:dyDescent="0.35">
      <c r="A335">
        <v>2016</v>
      </c>
      <c r="B335" t="s">
        <v>92</v>
      </c>
      <c r="C335" t="s">
        <v>26</v>
      </c>
      <c r="D335" t="s">
        <v>26</v>
      </c>
      <c r="E335" t="s">
        <v>94</v>
      </c>
      <c r="F335">
        <f t="shared" si="20"/>
        <v>0</v>
      </c>
      <c r="G335">
        <f t="shared" si="21"/>
        <v>0</v>
      </c>
      <c r="H335">
        <f t="shared" si="22"/>
        <v>0</v>
      </c>
      <c r="I335">
        <f t="shared" si="23"/>
        <v>0</v>
      </c>
      <c r="J335" t="s">
        <v>269</v>
      </c>
      <c r="K335" t="s">
        <v>495</v>
      </c>
      <c r="L335" t="s">
        <v>629</v>
      </c>
      <c r="M335" t="s">
        <v>669</v>
      </c>
    </row>
    <row r="336" spans="1:13" x14ac:dyDescent="0.35">
      <c r="A336">
        <v>2015</v>
      </c>
      <c r="B336" t="s">
        <v>92</v>
      </c>
      <c r="C336" t="s">
        <v>26</v>
      </c>
      <c r="D336" t="s">
        <v>26</v>
      </c>
      <c r="E336" t="s">
        <v>94</v>
      </c>
      <c r="F336">
        <f t="shared" si="20"/>
        <v>0</v>
      </c>
      <c r="G336">
        <f t="shared" si="21"/>
        <v>0</v>
      </c>
      <c r="H336">
        <f t="shared" si="22"/>
        <v>0</v>
      </c>
      <c r="I336">
        <f t="shared" si="23"/>
        <v>0</v>
      </c>
      <c r="J336" t="s">
        <v>269</v>
      </c>
      <c r="K336" t="s">
        <v>495</v>
      </c>
      <c r="L336" t="s">
        <v>629</v>
      </c>
      <c r="M336" t="s">
        <v>669</v>
      </c>
    </row>
    <row r="337" spans="1:13" x14ac:dyDescent="0.35">
      <c r="A337">
        <v>2014</v>
      </c>
      <c r="B337" t="s">
        <v>92</v>
      </c>
      <c r="C337" t="s">
        <v>26</v>
      </c>
      <c r="D337" t="s">
        <v>26</v>
      </c>
      <c r="E337" t="s">
        <v>94</v>
      </c>
      <c r="F337">
        <f t="shared" si="20"/>
        <v>1</v>
      </c>
      <c r="G337">
        <f t="shared" si="21"/>
        <v>1</v>
      </c>
      <c r="H337">
        <f t="shared" si="22"/>
        <v>1</v>
      </c>
      <c r="I337">
        <f t="shared" si="23"/>
        <v>0</v>
      </c>
      <c r="J337" t="s">
        <v>269</v>
      </c>
      <c r="K337" t="s">
        <v>495</v>
      </c>
      <c r="L337" t="s">
        <v>629</v>
      </c>
      <c r="M337" t="s">
        <v>669</v>
      </c>
    </row>
    <row r="338" spans="1:13" x14ac:dyDescent="0.35">
      <c r="A338">
        <v>2013</v>
      </c>
      <c r="B338" t="s">
        <v>92</v>
      </c>
      <c r="C338" t="s">
        <v>95</v>
      </c>
      <c r="D338" t="s">
        <v>95</v>
      </c>
      <c r="E338" t="s">
        <v>96</v>
      </c>
      <c r="F338">
        <f t="shared" si="20"/>
        <v>0</v>
      </c>
      <c r="G338">
        <f t="shared" si="21"/>
        <v>0</v>
      </c>
      <c r="H338">
        <f t="shared" si="22"/>
        <v>0</v>
      </c>
      <c r="I338">
        <f t="shared" si="23"/>
        <v>0</v>
      </c>
      <c r="J338" t="s">
        <v>269</v>
      </c>
      <c r="K338" t="s">
        <v>495</v>
      </c>
      <c r="L338" t="s">
        <v>664</v>
      </c>
      <c r="M338" t="s">
        <v>667</v>
      </c>
    </row>
    <row r="339" spans="1:13" x14ac:dyDescent="0.35">
      <c r="A339">
        <v>2012</v>
      </c>
      <c r="B339" t="s">
        <v>92</v>
      </c>
      <c r="C339" t="s">
        <v>95</v>
      </c>
      <c r="D339" t="s">
        <v>95</v>
      </c>
      <c r="E339" t="s">
        <v>96</v>
      </c>
      <c r="F339">
        <f t="shared" si="20"/>
        <v>0</v>
      </c>
      <c r="G339">
        <f t="shared" si="21"/>
        <v>0</v>
      </c>
      <c r="H339">
        <f t="shared" si="22"/>
        <v>0</v>
      </c>
      <c r="I339">
        <f t="shared" si="23"/>
        <v>0</v>
      </c>
      <c r="J339" t="s">
        <v>269</v>
      </c>
      <c r="K339" t="s">
        <v>495</v>
      </c>
      <c r="L339" t="s">
        <v>664</v>
      </c>
      <c r="M339" t="s">
        <v>667</v>
      </c>
    </row>
    <row r="340" spans="1:13" x14ac:dyDescent="0.35">
      <c r="A340">
        <v>2011</v>
      </c>
      <c r="B340" t="s">
        <v>92</v>
      </c>
      <c r="C340" t="s">
        <v>95</v>
      </c>
      <c r="D340" t="s">
        <v>95</v>
      </c>
      <c r="E340" t="s">
        <v>96</v>
      </c>
      <c r="F340">
        <f t="shared" si="20"/>
        <v>0</v>
      </c>
      <c r="G340">
        <f t="shared" si="21"/>
        <v>0</v>
      </c>
      <c r="H340">
        <f t="shared" si="22"/>
        <v>1</v>
      </c>
      <c r="I340">
        <f t="shared" si="23"/>
        <v>0</v>
      </c>
      <c r="J340" t="s">
        <v>269</v>
      </c>
      <c r="K340" t="s">
        <v>495</v>
      </c>
      <c r="L340" t="s">
        <v>664</v>
      </c>
      <c r="M340" t="s">
        <v>667</v>
      </c>
    </row>
    <row r="341" spans="1:13" hidden="1" x14ac:dyDescent="0.35">
      <c r="A341">
        <v>2010</v>
      </c>
      <c r="B341" t="s">
        <v>92</v>
      </c>
      <c r="C341" t="s">
        <v>95</v>
      </c>
      <c r="D341" t="s">
        <v>95</v>
      </c>
      <c r="E341" t="s">
        <v>97</v>
      </c>
      <c r="F341">
        <f t="shared" si="20"/>
        <v>0</v>
      </c>
      <c r="G341">
        <f t="shared" si="21"/>
        <v>1</v>
      </c>
      <c r="H341">
        <f t="shared" si="22"/>
        <v>0</v>
      </c>
      <c r="I341">
        <f t="shared" si="23"/>
        <v>0</v>
      </c>
      <c r="J341" t="s">
        <v>269</v>
      </c>
      <c r="K341" t="s">
        <v>495</v>
      </c>
      <c r="L341" t="s">
        <v>664</v>
      </c>
      <c r="M341" t="s">
        <v>669</v>
      </c>
    </row>
    <row r="342" spans="1:13" hidden="1" x14ac:dyDescent="0.35">
      <c r="A342">
        <v>2009</v>
      </c>
      <c r="B342" t="s">
        <v>92</v>
      </c>
      <c r="C342" t="s">
        <v>95</v>
      </c>
      <c r="D342" t="s">
        <v>111</v>
      </c>
      <c r="E342" t="s">
        <v>97</v>
      </c>
      <c r="F342">
        <f t="shared" si="20"/>
        <v>0</v>
      </c>
      <c r="G342">
        <f t="shared" si="21"/>
        <v>0</v>
      </c>
      <c r="H342">
        <f t="shared" si="22"/>
        <v>1</v>
      </c>
      <c r="I342">
        <f t="shared" si="23"/>
        <v>0</v>
      </c>
      <c r="J342" t="s">
        <v>269</v>
      </c>
      <c r="K342" t="s">
        <v>495</v>
      </c>
      <c r="L342" t="s">
        <v>627</v>
      </c>
    </row>
    <row r="343" spans="1:13" hidden="1" x14ac:dyDescent="0.35">
      <c r="A343">
        <v>2008</v>
      </c>
      <c r="B343" t="s">
        <v>92</v>
      </c>
      <c r="C343" t="s">
        <v>95</v>
      </c>
      <c r="D343" t="s">
        <v>111</v>
      </c>
      <c r="E343" t="s">
        <v>497</v>
      </c>
      <c r="F343">
        <f t="shared" si="20"/>
        <v>0</v>
      </c>
      <c r="G343">
        <f t="shared" si="21"/>
        <v>1</v>
      </c>
      <c r="H343">
        <f t="shared" si="22"/>
        <v>0</v>
      </c>
      <c r="I343">
        <f t="shared" si="23"/>
        <v>0</v>
      </c>
      <c r="J343" t="s">
        <v>269</v>
      </c>
      <c r="K343" t="s">
        <v>495</v>
      </c>
      <c r="L343" t="s">
        <v>627</v>
      </c>
    </row>
    <row r="344" spans="1:13" hidden="1" x14ac:dyDescent="0.35">
      <c r="A344">
        <v>2007</v>
      </c>
      <c r="B344" t="s">
        <v>92</v>
      </c>
      <c r="C344" t="s">
        <v>95</v>
      </c>
      <c r="D344" t="s">
        <v>95</v>
      </c>
      <c r="E344" t="s">
        <v>497</v>
      </c>
      <c r="F344">
        <f t="shared" si="20"/>
        <v>0</v>
      </c>
      <c r="G344">
        <f t="shared" si="21"/>
        <v>0</v>
      </c>
      <c r="H344">
        <f t="shared" si="22"/>
        <v>0</v>
      </c>
      <c r="I344">
        <f t="shared" si="23"/>
        <v>0</v>
      </c>
      <c r="J344" t="s">
        <v>269</v>
      </c>
      <c r="K344" t="s">
        <v>495</v>
      </c>
      <c r="L344" t="s">
        <v>627</v>
      </c>
    </row>
    <row r="345" spans="1:13" hidden="1" x14ac:dyDescent="0.35">
      <c r="A345">
        <v>2006</v>
      </c>
      <c r="B345" t="s">
        <v>92</v>
      </c>
      <c r="C345" t="s">
        <v>95</v>
      </c>
      <c r="D345" t="s">
        <v>95</v>
      </c>
      <c r="E345" t="s">
        <v>497</v>
      </c>
      <c r="F345">
        <f t="shared" si="20"/>
        <v>1</v>
      </c>
      <c r="G345">
        <f t="shared" si="21"/>
        <v>1</v>
      </c>
      <c r="H345">
        <f t="shared" si="22"/>
        <v>1</v>
      </c>
      <c r="I345">
        <f t="shared" si="23"/>
        <v>1</v>
      </c>
      <c r="J345" t="s">
        <v>269</v>
      </c>
      <c r="K345" t="s">
        <v>495</v>
      </c>
      <c r="L345" t="s">
        <v>627</v>
      </c>
    </row>
    <row r="346" spans="1:13" hidden="1" x14ac:dyDescent="0.35">
      <c r="A346">
        <v>2005</v>
      </c>
      <c r="B346" t="s">
        <v>92</v>
      </c>
      <c r="C346" t="s">
        <v>217</v>
      </c>
      <c r="D346" t="s">
        <v>69</v>
      </c>
      <c r="E346" t="s">
        <v>167</v>
      </c>
      <c r="F346">
        <f t="shared" si="20"/>
        <v>0</v>
      </c>
      <c r="G346">
        <f t="shared" si="21"/>
        <v>0</v>
      </c>
      <c r="H346">
        <f t="shared" si="22"/>
        <v>0</v>
      </c>
      <c r="I346">
        <f t="shared" si="23"/>
        <v>0</v>
      </c>
      <c r="J346" t="s">
        <v>496</v>
      </c>
      <c r="K346" t="s">
        <v>495</v>
      </c>
      <c r="L346" t="s">
        <v>623</v>
      </c>
    </row>
    <row r="347" spans="1:13" hidden="1" x14ac:dyDescent="0.35">
      <c r="A347">
        <v>2004</v>
      </c>
      <c r="B347" t="s">
        <v>92</v>
      </c>
      <c r="C347" t="s">
        <v>217</v>
      </c>
      <c r="D347" t="s">
        <v>69</v>
      </c>
      <c r="E347" t="s">
        <v>167</v>
      </c>
      <c r="F347">
        <f t="shared" si="20"/>
        <v>0</v>
      </c>
      <c r="G347">
        <f t="shared" si="21"/>
        <v>0</v>
      </c>
      <c r="H347">
        <f t="shared" si="22"/>
        <v>0</v>
      </c>
      <c r="I347">
        <f t="shared" si="23"/>
        <v>0</v>
      </c>
      <c r="J347" t="s">
        <v>496</v>
      </c>
      <c r="K347" t="s">
        <v>495</v>
      </c>
      <c r="L347" t="s">
        <v>623</v>
      </c>
    </row>
    <row r="348" spans="1:13" hidden="1" x14ac:dyDescent="0.35">
      <c r="A348">
        <v>2003</v>
      </c>
      <c r="B348" t="s">
        <v>92</v>
      </c>
      <c r="C348" t="s">
        <v>217</v>
      </c>
      <c r="D348" t="s">
        <v>69</v>
      </c>
      <c r="E348" t="s">
        <v>167</v>
      </c>
      <c r="F348">
        <f t="shared" si="20"/>
        <v>0</v>
      </c>
      <c r="G348">
        <f t="shared" si="21"/>
        <v>0</v>
      </c>
      <c r="H348">
        <f t="shared" si="22"/>
        <v>0</v>
      </c>
      <c r="I348">
        <f t="shared" si="23"/>
        <v>0</v>
      </c>
      <c r="J348" t="s">
        <v>496</v>
      </c>
      <c r="K348" t="s">
        <v>495</v>
      </c>
      <c r="L348" t="s">
        <v>623</v>
      </c>
    </row>
    <row r="349" spans="1:13" hidden="1" x14ac:dyDescent="0.35">
      <c r="A349">
        <v>2002</v>
      </c>
      <c r="B349" t="s">
        <v>92</v>
      </c>
      <c r="C349" t="s">
        <v>217</v>
      </c>
      <c r="D349" t="s">
        <v>69</v>
      </c>
      <c r="E349" t="s">
        <v>167</v>
      </c>
      <c r="F349">
        <f t="shared" si="20"/>
        <v>1</v>
      </c>
      <c r="G349">
        <f t="shared" si="21"/>
        <v>1</v>
      </c>
      <c r="H349">
        <f t="shared" si="22"/>
        <v>1</v>
      </c>
      <c r="I349">
        <f t="shared" si="23"/>
        <v>1</v>
      </c>
      <c r="J349" t="s">
        <v>496</v>
      </c>
      <c r="K349" t="s">
        <v>495</v>
      </c>
      <c r="L349" t="s">
        <v>623</v>
      </c>
    </row>
    <row r="350" spans="1:13" x14ac:dyDescent="0.35">
      <c r="A350">
        <v>2025</v>
      </c>
      <c r="B350" t="s">
        <v>32</v>
      </c>
      <c r="C350" t="s">
        <v>172</v>
      </c>
      <c r="D350" t="s">
        <v>172</v>
      </c>
      <c r="E350" t="s">
        <v>140</v>
      </c>
      <c r="F350">
        <f t="shared" si="20"/>
        <v>0</v>
      </c>
      <c r="G350">
        <f t="shared" si="21"/>
        <v>0</v>
      </c>
      <c r="H350">
        <f t="shared" si="22"/>
        <v>1</v>
      </c>
      <c r="I350">
        <f t="shared" si="23"/>
        <v>0</v>
      </c>
      <c r="J350" t="s">
        <v>263</v>
      </c>
      <c r="K350" t="s">
        <v>498</v>
      </c>
      <c r="L350" t="s">
        <v>631</v>
      </c>
      <c r="M350" t="s">
        <v>673</v>
      </c>
    </row>
    <row r="351" spans="1:13" x14ac:dyDescent="0.35">
      <c r="A351">
        <v>2024</v>
      </c>
      <c r="B351" t="s">
        <v>32</v>
      </c>
      <c r="C351" t="s">
        <v>172</v>
      </c>
      <c r="D351" t="s">
        <v>172</v>
      </c>
      <c r="E351" t="s">
        <v>84</v>
      </c>
      <c r="F351">
        <f t="shared" si="20"/>
        <v>0</v>
      </c>
      <c r="G351">
        <f t="shared" si="21"/>
        <v>0</v>
      </c>
      <c r="H351">
        <f t="shared" si="22"/>
        <v>0</v>
      </c>
      <c r="I351">
        <f t="shared" si="23"/>
        <v>0</v>
      </c>
      <c r="J351" t="s">
        <v>263</v>
      </c>
      <c r="K351" t="s">
        <v>498</v>
      </c>
      <c r="L351" t="s">
        <v>631</v>
      </c>
      <c r="M351" t="s">
        <v>673</v>
      </c>
    </row>
    <row r="352" spans="1:13" x14ac:dyDescent="0.35">
      <c r="A352">
        <v>2023</v>
      </c>
      <c r="B352" t="s">
        <v>32</v>
      </c>
      <c r="C352" t="s">
        <v>172</v>
      </c>
      <c r="D352" t="s">
        <v>172</v>
      </c>
      <c r="E352" t="s">
        <v>84</v>
      </c>
      <c r="F352">
        <f t="shared" si="20"/>
        <v>1</v>
      </c>
      <c r="G352">
        <f t="shared" si="21"/>
        <v>1</v>
      </c>
      <c r="H352">
        <f t="shared" si="22"/>
        <v>0</v>
      </c>
      <c r="I352">
        <f t="shared" si="23"/>
        <v>0</v>
      </c>
      <c r="J352" t="s">
        <v>263</v>
      </c>
      <c r="K352" t="s">
        <v>498</v>
      </c>
      <c r="L352" t="s">
        <v>631</v>
      </c>
      <c r="M352" t="s">
        <v>673</v>
      </c>
    </row>
    <row r="353" spans="1:13" x14ac:dyDescent="0.35">
      <c r="A353">
        <v>2022</v>
      </c>
      <c r="B353" t="s">
        <v>32</v>
      </c>
      <c r="C353" t="s">
        <v>73</v>
      </c>
      <c r="D353" t="s">
        <v>73</v>
      </c>
      <c r="E353" t="s">
        <v>84</v>
      </c>
      <c r="F353">
        <f t="shared" si="20"/>
        <v>0</v>
      </c>
      <c r="G353">
        <f t="shared" si="21"/>
        <v>0</v>
      </c>
      <c r="H353">
        <f t="shared" si="22"/>
        <v>1</v>
      </c>
      <c r="I353">
        <f t="shared" si="23"/>
        <v>0</v>
      </c>
      <c r="J353" t="s">
        <v>263</v>
      </c>
      <c r="K353" t="s">
        <v>498</v>
      </c>
      <c r="L353" t="s">
        <v>631</v>
      </c>
      <c r="M353" t="s">
        <v>673</v>
      </c>
    </row>
    <row r="354" spans="1:13" x14ac:dyDescent="0.35">
      <c r="A354">
        <v>2021</v>
      </c>
      <c r="B354" t="s">
        <v>32</v>
      </c>
      <c r="C354" t="s">
        <v>73</v>
      </c>
      <c r="D354" t="s">
        <v>73</v>
      </c>
      <c r="E354" t="s">
        <v>74</v>
      </c>
      <c r="F354">
        <f t="shared" si="20"/>
        <v>0</v>
      </c>
      <c r="G354">
        <f t="shared" si="21"/>
        <v>0</v>
      </c>
      <c r="H354">
        <f t="shared" si="22"/>
        <v>0</v>
      </c>
      <c r="I354">
        <f t="shared" si="23"/>
        <v>0</v>
      </c>
      <c r="J354" t="s">
        <v>263</v>
      </c>
      <c r="K354" t="s">
        <v>498</v>
      </c>
      <c r="L354" t="s">
        <v>631</v>
      </c>
      <c r="M354" t="s">
        <v>665</v>
      </c>
    </row>
    <row r="355" spans="1:13" x14ac:dyDescent="0.35">
      <c r="A355">
        <v>2020</v>
      </c>
      <c r="B355" t="s">
        <v>32</v>
      </c>
      <c r="C355" t="s">
        <v>73</v>
      </c>
      <c r="D355" t="s">
        <v>73</v>
      </c>
      <c r="E355" t="s">
        <v>74</v>
      </c>
      <c r="F355">
        <f t="shared" si="20"/>
        <v>0</v>
      </c>
      <c r="G355">
        <f t="shared" si="21"/>
        <v>0</v>
      </c>
      <c r="H355">
        <f t="shared" si="22"/>
        <v>0</v>
      </c>
      <c r="I355">
        <f t="shared" si="23"/>
        <v>0</v>
      </c>
      <c r="J355" t="s">
        <v>263</v>
      </c>
      <c r="K355" t="s">
        <v>498</v>
      </c>
      <c r="L355" t="s">
        <v>631</v>
      </c>
      <c r="M355" t="s">
        <v>665</v>
      </c>
    </row>
    <row r="356" spans="1:13" x14ac:dyDescent="0.35">
      <c r="A356">
        <v>2019</v>
      </c>
      <c r="B356" t="s">
        <v>32</v>
      </c>
      <c r="C356" t="s">
        <v>73</v>
      </c>
      <c r="D356" t="s">
        <v>73</v>
      </c>
      <c r="E356" t="s">
        <v>74</v>
      </c>
      <c r="F356">
        <f t="shared" si="20"/>
        <v>0</v>
      </c>
      <c r="G356">
        <f t="shared" si="21"/>
        <v>0</v>
      </c>
      <c r="H356">
        <f t="shared" si="22"/>
        <v>0</v>
      </c>
      <c r="I356">
        <f t="shared" si="23"/>
        <v>0</v>
      </c>
      <c r="J356" t="s">
        <v>263</v>
      </c>
      <c r="K356" t="s">
        <v>498</v>
      </c>
      <c r="L356" t="s">
        <v>631</v>
      </c>
      <c r="M356" t="s">
        <v>665</v>
      </c>
    </row>
    <row r="357" spans="1:13" x14ac:dyDescent="0.35">
      <c r="A357">
        <v>2018</v>
      </c>
      <c r="B357" t="s">
        <v>32</v>
      </c>
      <c r="C357" t="s">
        <v>73</v>
      </c>
      <c r="D357" t="s">
        <v>73</v>
      </c>
      <c r="E357" t="s">
        <v>74</v>
      </c>
      <c r="F357">
        <f t="shared" si="20"/>
        <v>1</v>
      </c>
      <c r="G357">
        <f t="shared" si="21"/>
        <v>1</v>
      </c>
      <c r="H357">
        <f t="shared" si="22"/>
        <v>1</v>
      </c>
      <c r="I357">
        <f t="shared" si="23"/>
        <v>0</v>
      </c>
      <c r="J357" t="s">
        <v>263</v>
      </c>
      <c r="K357" t="s">
        <v>498</v>
      </c>
      <c r="L357" t="s">
        <v>631</v>
      </c>
      <c r="M357" t="s">
        <v>665</v>
      </c>
    </row>
    <row r="358" spans="1:13" x14ac:dyDescent="0.35">
      <c r="A358">
        <v>2017</v>
      </c>
      <c r="B358" t="s">
        <v>32</v>
      </c>
      <c r="C358" t="s">
        <v>75</v>
      </c>
      <c r="D358" t="s">
        <v>251</v>
      </c>
      <c r="E358" t="s">
        <v>380</v>
      </c>
      <c r="F358">
        <f t="shared" si="20"/>
        <v>0</v>
      </c>
      <c r="G358">
        <f t="shared" si="21"/>
        <v>0</v>
      </c>
      <c r="H358">
        <f t="shared" si="22"/>
        <v>0</v>
      </c>
      <c r="I358">
        <f t="shared" si="23"/>
        <v>1</v>
      </c>
      <c r="J358" t="s">
        <v>263</v>
      </c>
      <c r="K358" t="s">
        <v>498</v>
      </c>
      <c r="L358" t="s">
        <v>623</v>
      </c>
      <c r="M358" t="s">
        <v>669</v>
      </c>
    </row>
    <row r="359" spans="1:13" x14ac:dyDescent="0.35">
      <c r="A359">
        <v>2016</v>
      </c>
      <c r="B359" t="s">
        <v>32</v>
      </c>
      <c r="C359" t="s">
        <v>75</v>
      </c>
      <c r="D359" t="s">
        <v>251</v>
      </c>
      <c r="E359" t="s">
        <v>380</v>
      </c>
      <c r="F359">
        <f t="shared" si="20"/>
        <v>0</v>
      </c>
      <c r="G359">
        <f t="shared" si="21"/>
        <v>1</v>
      </c>
      <c r="H359">
        <f t="shared" si="22"/>
        <v>1</v>
      </c>
      <c r="I359">
        <f t="shared" si="23"/>
        <v>0</v>
      </c>
      <c r="J359" t="s">
        <v>264</v>
      </c>
      <c r="K359" t="s">
        <v>498</v>
      </c>
      <c r="L359" t="s">
        <v>623</v>
      </c>
      <c r="M359" t="s">
        <v>669</v>
      </c>
    </row>
    <row r="360" spans="1:13" x14ac:dyDescent="0.35">
      <c r="A360">
        <v>2015</v>
      </c>
      <c r="B360" t="s">
        <v>32</v>
      </c>
      <c r="C360" t="s">
        <v>75</v>
      </c>
      <c r="D360" t="s">
        <v>77</v>
      </c>
      <c r="E360" t="s">
        <v>76</v>
      </c>
      <c r="F360">
        <f t="shared" si="20"/>
        <v>0</v>
      </c>
      <c r="G360">
        <f t="shared" si="21"/>
        <v>0</v>
      </c>
      <c r="H360">
        <f t="shared" si="22"/>
        <v>0</v>
      </c>
      <c r="I360">
        <f t="shared" si="23"/>
        <v>0</v>
      </c>
      <c r="J360" t="s">
        <v>264</v>
      </c>
      <c r="K360" t="s">
        <v>498</v>
      </c>
      <c r="L360" t="s">
        <v>629</v>
      </c>
      <c r="M360" t="s">
        <v>670</v>
      </c>
    </row>
    <row r="361" spans="1:13" x14ac:dyDescent="0.35">
      <c r="A361">
        <v>2014</v>
      </c>
      <c r="B361" t="s">
        <v>32</v>
      </c>
      <c r="C361" t="s">
        <v>75</v>
      </c>
      <c r="D361" t="s">
        <v>77</v>
      </c>
      <c r="E361" t="s">
        <v>76</v>
      </c>
      <c r="F361">
        <f t="shared" si="20"/>
        <v>0</v>
      </c>
      <c r="G361">
        <f t="shared" si="21"/>
        <v>0</v>
      </c>
      <c r="H361">
        <f t="shared" si="22"/>
        <v>0</v>
      </c>
      <c r="I361">
        <f t="shared" si="23"/>
        <v>0</v>
      </c>
      <c r="J361" t="s">
        <v>264</v>
      </c>
      <c r="K361" t="s">
        <v>498</v>
      </c>
      <c r="L361" t="s">
        <v>629</v>
      </c>
      <c r="M361" t="s">
        <v>670</v>
      </c>
    </row>
    <row r="362" spans="1:13" x14ac:dyDescent="0.35">
      <c r="A362">
        <v>2013</v>
      </c>
      <c r="B362" t="s">
        <v>32</v>
      </c>
      <c r="C362" t="s">
        <v>75</v>
      </c>
      <c r="D362" t="s">
        <v>77</v>
      </c>
      <c r="E362" t="s">
        <v>76</v>
      </c>
      <c r="F362">
        <f t="shared" si="20"/>
        <v>0</v>
      </c>
      <c r="G362">
        <f t="shared" si="21"/>
        <v>1</v>
      </c>
      <c r="H362">
        <f t="shared" si="22"/>
        <v>0</v>
      </c>
      <c r="I362">
        <f t="shared" si="23"/>
        <v>0</v>
      </c>
      <c r="J362" t="s">
        <v>264</v>
      </c>
      <c r="K362" t="s">
        <v>498</v>
      </c>
      <c r="L362" t="s">
        <v>629</v>
      </c>
      <c r="M362" t="s">
        <v>670</v>
      </c>
    </row>
    <row r="363" spans="1:13" x14ac:dyDescent="0.35">
      <c r="A363">
        <v>2012</v>
      </c>
      <c r="B363" t="s">
        <v>32</v>
      </c>
      <c r="C363" t="s">
        <v>75</v>
      </c>
      <c r="D363" t="s">
        <v>78</v>
      </c>
      <c r="E363" t="s">
        <v>76</v>
      </c>
      <c r="F363">
        <f t="shared" si="20"/>
        <v>1</v>
      </c>
      <c r="G363">
        <f t="shared" si="21"/>
        <v>1</v>
      </c>
      <c r="H363">
        <f t="shared" si="22"/>
        <v>1</v>
      </c>
      <c r="I363">
        <f t="shared" si="23"/>
        <v>1</v>
      </c>
      <c r="J363" t="s">
        <v>264</v>
      </c>
      <c r="K363" t="s">
        <v>498</v>
      </c>
      <c r="L363" t="s">
        <v>622</v>
      </c>
      <c r="M363" t="s">
        <v>670</v>
      </c>
    </row>
    <row r="364" spans="1:13" x14ac:dyDescent="0.35">
      <c r="A364">
        <v>2011</v>
      </c>
      <c r="B364" t="s">
        <v>32</v>
      </c>
      <c r="C364" t="s">
        <v>79</v>
      </c>
      <c r="D364" t="s">
        <v>41</v>
      </c>
      <c r="E364" t="s">
        <v>80</v>
      </c>
      <c r="F364">
        <f t="shared" si="20"/>
        <v>0</v>
      </c>
      <c r="G364">
        <f t="shared" si="21"/>
        <v>0</v>
      </c>
      <c r="H364">
        <f t="shared" si="22"/>
        <v>0</v>
      </c>
      <c r="I364">
        <f t="shared" si="23"/>
        <v>0</v>
      </c>
      <c r="J364" t="s">
        <v>265</v>
      </c>
      <c r="K364" t="s">
        <v>498</v>
      </c>
      <c r="L364" t="s">
        <v>623</v>
      </c>
      <c r="M364" t="s">
        <v>673</v>
      </c>
    </row>
    <row r="365" spans="1:13" hidden="1" x14ac:dyDescent="0.35">
      <c r="A365">
        <v>2010</v>
      </c>
      <c r="B365" t="s">
        <v>32</v>
      </c>
      <c r="C365" t="s">
        <v>79</v>
      </c>
      <c r="D365" t="s">
        <v>41</v>
      </c>
      <c r="E365" t="s">
        <v>80</v>
      </c>
      <c r="F365">
        <f t="shared" si="20"/>
        <v>0</v>
      </c>
      <c r="G365">
        <f t="shared" si="21"/>
        <v>1</v>
      </c>
      <c r="H365">
        <f t="shared" si="22"/>
        <v>0</v>
      </c>
      <c r="I365">
        <f t="shared" si="23"/>
        <v>0</v>
      </c>
      <c r="J365" t="s">
        <v>265</v>
      </c>
      <c r="K365" t="s">
        <v>498</v>
      </c>
      <c r="L365" t="s">
        <v>623</v>
      </c>
      <c r="M365" t="s">
        <v>673</v>
      </c>
    </row>
    <row r="366" spans="1:13" hidden="1" x14ac:dyDescent="0.35">
      <c r="A366">
        <v>2009</v>
      </c>
      <c r="B366" t="s">
        <v>32</v>
      </c>
      <c r="C366" t="s">
        <v>79</v>
      </c>
      <c r="D366" t="s">
        <v>500</v>
      </c>
      <c r="E366" t="s">
        <v>80</v>
      </c>
      <c r="F366">
        <f t="shared" si="20"/>
        <v>1</v>
      </c>
      <c r="G366">
        <f t="shared" si="21"/>
        <v>0</v>
      </c>
      <c r="H366">
        <f t="shared" si="22"/>
        <v>1</v>
      </c>
      <c r="I366">
        <f t="shared" si="23"/>
        <v>1</v>
      </c>
      <c r="J366" t="s">
        <v>265</v>
      </c>
      <c r="K366" t="s">
        <v>498</v>
      </c>
    </row>
    <row r="367" spans="1:13" hidden="1" x14ac:dyDescent="0.35">
      <c r="A367">
        <v>2008</v>
      </c>
      <c r="B367" t="s">
        <v>32</v>
      </c>
      <c r="C367" t="s">
        <v>501</v>
      </c>
      <c r="D367" t="s">
        <v>500</v>
      </c>
      <c r="E367" t="s">
        <v>253</v>
      </c>
      <c r="F367">
        <f t="shared" si="20"/>
        <v>0</v>
      </c>
      <c r="G367">
        <f t="shared" si="21"/>
        <v>0</v>
      </c>
      <c r="H367">
        <f t="shared" si="22"/>
        <v>0</v>
      </c>
      <c r="I367">
        <f t="shared" si="23"/>
        <v>0</v>
      </c>
      <c r="J367" t="s">
        <v>499</v>
      </c>
      <c r="K367" t="s">
        <v>498</v>
      </c>
    </row>
    <row r="368" spans="1:13" hidden="1" x14ac:dyDescent="0.35">
      <c r="A368">
        <v>2007</v>
      </c>
      <c r="B368" t="s">
        <v>32</v>
      </c>
      <c r="C368" t="s">
        <v>501</v>
      </c>
      <c r="D368" t="s">
        <v>500</v>
      </c>
      <c r="E368" t="s">
        <v>253</v>
      </c>
      <c r="F368">
        <f t="shared" si="20"/>
        <v>0</v>
      </c>
      <c r="G368">
        <f t="shared" si="21"/>
        <v>0</v>
      </c>
      <c r="H368">
        <f t="shared" si="22"/>
        <v>0</v>
      </c>
      <c r="I368">
        <f t="shared" si="23"/>
        <v>0</v>
      </c>
      <c r="J368" t="s">
        <v>499</v>
      </c>
      <c r="K368" t="s">
        <v>498</v>
      </c>
    </row>
    <row r="369" spans="1:13" hidden="1" x14ac:dyDescent="0.35">
      <c r="A369">
        <v>2006</v>
      </c>
      <c r="B369" t="s">
        <v>32</v>
      </c>
      <c r="C369" t="s">
        <v>501</v>
      </c>
      <c r="D369" t="s">
        <v>500</v>
      </c>
      <c r="E369" t="s">
        <v>253</v>
      </c>
      <c r="F369">
        <f t="shared" si="20"/>
        <v>0</v>
      </c>
      <c r="G369">
        <f t="shared" si="21"/>
        <v>0</v>
      </c>
      <c r="H369">
        <f t="shared" si="22"/>
        <v>0</v>
      </c>
      <c r="I369">
        <f t="shared" si="23"/>
        <v>0</v>
      </c>
      <c r="J369" t="s">
        <v>499</v>
      </c>
      <c r="K369" t="s">
        <v>498</v>
      </c>
    </row>
    <row r="370" spans="1:13" hidden="1" x14ac:dyDescent="0.35">
      <c r="A370">
        <v>2005</v>
      </c>
      <c r="B370" t="s">
        <v>32</v>
      </c>
      <c r="C370" t="s">
        <v>501</v>
      </c>
      <c r="D370" t="s">
        <v>500</v>
      </c>
      <c r="E370" t="s">
        <v>253</v>
      </c>
      <c r="F370">
        <f t="shared" si="20"/>
        <v>0</v>
      </c>
      <c r="G370">
        <f t="shared" si="21"/>
        <v>0</v>
      </c>
      <c r="H370">
        <f t="shared" si="22"/>
        <v>0</v>
      </c>
      <c r="I370">
        <f t="shared" si="23"/>
        <v>0</v>
      </c>
      <c r="J370" t="s">
        <v>499</v>
      </c>
      <c r="K370" t="s">
        <v>498</v>
      </c>
    </row>
    <row r="371" spans="1:13" hidden="1" x14ac:dyDescent="0.35">
      <c r="A371">
        <v>2004</v>
      </c>
      <c r="B371" t="s">
        <v>32</v>
      </c>
      <c r="C371" t="s">
        <v>501</v>
      </c>
      <c r="D371" t="s">
        <v>500</v>
      </c>
      <c r="E371" t="s">
        <v>253</v>
      </c>
      <c r="F371">
        <f t="shared" si="20"/>
        <v>0</v>
      </c>
      <c r="G371">
        <f t="shared" si="21"/>
        <v>0</v>
      </c>
      <c r="H371">
        <f t="shared" si="22"/>
        <v>0</v>
      </c>
      <c r="I371">
        <f t="shared" si="23"/>
        <v>0</v>
      </c>
      <c r="J371" t="s">
        <v>499</v>
      </c>
      <c r="K371" t="s">
        <v>498</v>
      </c>
    </row>
    <row r="372" spans="1:13" hidden="1" x14ac:dyDescent="0.35">
      <c r="A372">
        <v>2003</v>
      </c>
      <c r="B372" t="s">
        <v>32</v>
      </c>
      <c r="C372" t="s">
        <v>501</v>
      </c>
      <c r="D372" t="s">
        <v>500</v>
      </c>
      <c r="E372" t="s">
        <v>253</v>
      </c>
      <c r="F372">
        <f t="shared" si="20"/>
        <v>0</v>
      </c>
      <c r="G372">
        <f t="shared" si="21"/>
        <v>0</v>
      </c>
      <c r="H372">
        <f t="shared" si="22"/>
        <v>0</v>
      </c>
      <c r="I372">
        <f t="shared" si="23"/>
        <v>0</v>
      </c>
      <c r="J372" t="s">
        <v>499</v>
      </c>
      <c r="K372" t="s">
        <v>498</v>
      </c>
    </row>
    <row r="373" spans="1:13" hidden="1" x14ac:dyDescent="0.35">
      <c r="A373">
        <v>2002</v>
      </c>
      <c r="B373" t="s">
        <v>32</v>
      </c>
      <c r="C373" t="s">
        <v>501</v>
      </c>
      <c r="D373" t="s">
        <v>500</v>
      </c>
      <c r="E373" t="s">
        <v>253</v>
      </c>
      <c r="F373">
        <f t="shared" si="20"/>
        <v>1</v>
      </c>
      <c r="G373">
        <f t="shared" si="21"/>
        <v>0</v>
      </c>
      <c r="H373">
        <f t="shared" si="22"/>
        <v>1</v>
      </c>
      <c r="I373">
        <f t="shared" si="23"/>
        <v>0</v>
      </c>
      <c r="J373" t="s">
        <v>499</v>
      </c>
      <c r="K373" t="s">
        <v>498</v>
      </c>
    </row>
    <row r="374" spans="1:13" hidden="1" x14ac:dyDescent="0.35">
      <c r="A374">
        <v>2001</v>
      </c>
      <c r="B374" t="s">
        <v>32</v>
      </c>
      <c r="C374" t="s">
        <v>395</v>
      </c>
      <c r="D374" t="s">
        <v>500</v>
      </c>
      <c r="E374" t="s">
        <v>167</v>
      </c>
      <c r="F374">
        <f t="shared" si="20"/>
        <v>0</v>
      </c>
      <c r="G374">
        <f t="shared" si="21"/>
        <v>0</v>
      </c>
      <c r="H374">
        <f t="shared" si="22"/>
        <v>0</v>
      </c>
      <c r="I374">
        <f t="shared" si="23"/>
        <v>0</v>
      </c>
      <c r="J374" t="s">
        <v>499</v>
      </c>
      <c r="K374" t="s">
        <v>498</v>
      </c>
    </row>
    <row r="375" spans="1:13" hidden="1" x14ac:dyDescent="0.35">
      <c r="A375">
        <v>2000</v>
      </c>
      <c r="B375" t="s">
        <v>32</v>
      </c>
      <c r="C375" t="s">
        <v>395</v>
      </c>
      <c r="D375" t="s">
        <v>500</v>
      </c>
      <c r="E375" t="s">
        <v>167</v>
      </c>
      <c r="F375">
        <f t="shared" si="20"/>
        <v>0</v>
      </c>
      <c r="G375">
        <f t="shared" si="21"/>
        <v>0</v>
      </c>
      <c r="H375">
        <f t="shared" si="22"/>
        <v>0</v>
      </c>
      <c r="I375">
        <f t="shared" si="23"/>
        <v>0</v>
      </c>
      <c r="J375" t="s">
        <v>499</v>
      </c>
      <c r="K375" t="s">
        <v>498</v>
      </c>
    </row>
    <row r="376" spans="1:13" hidden="1" x14ac:dyDescent="0.35">
      <c r="A376">
        <v>1999</v>
      </c>
      <c r="B376" t="s">
        <v>32</v>
      </c>
      <c r="C376" t="s">
        <v>395</v>
      </c>
      <c r="D376" t="s">
        <v>500</v>
      </c>
      <c r="E376" t="s">
        <v>167</v>
      </c>
      <c r="F376">
        <f t="shared" si="20"/>
        <v>1</v>
      </c>
      <c r="G376">
        <f t="shared" si="21"/>
        <v>1</v>
      </c>
      <c r="H376">
        <f t="shared" si="22"/>
        <v>1</v>
      </c>
      <c r="I376">
        <f t="shared" si="23"/>
        <v>1</v>
      </c>
      <c r="J376" t="s">
        <v>499</v>
      </c>
      <c r="K376" t="s">
        <v>498</v>
      </c>
    </row>
    <row r="377" spans="1:13" x14ac:dyDescent="0.35">
      <c r="A377">
        <v>2025</v>
      </c>
      <c r="B377" t="s">
        <v>31</v>
      </c>
      <c r="C377" t="s">
        <v>681</v>
      </c>
      <c r="D377" t="s">
        <v>681</v>
      </c>
      <c r="E377" t="s">
        <v>690</v>
      </c>
      <c r="F377">
        <f t="shared" si="20"/>
        <v>1</v>
      </c>
      <c r="G377">
        <f t="shared" si="21"/>
        <v>1</v>
      </c>
      <c r="H377">
        <f t="shared" si="22"/>
        <v>1</v>
      </c>
      <c r="I377">
        <f t="shared" si="23"/>
        <v>0</v>
      </c>
      <c r="J377" t="s">
        <v>299</v>
      </c>
      <c r="K377" t="s">
        <v>504</v>
      </c>
      <c r="L377" t="s">
        <v>631</v>
      </c>
      <c r="M377" t="s">
        <v>674</v>
      </c>
    </row>
    <row r="378" spans="1:13" x14ac:dyDescent="0.35">
      <c r="A378">
        <v>2024</v>
      </c>
      <c r="B378" t="s">
        <v>31</v>
      </c>
      <c r="C378" t="s">
        <v>152</v>
      </c>
      <c r="D378" t="s">
        <v>152</v>
      </c>
      <c r="E378" t="s">
        <v>654</v>
      </c>
      <c r="F378">
        <f t="shared" si="20"/>
        <v>0</v>
      </c>
      <c r="G378">
        <f t="shared" si="21"/>
        <v>0</v>
      </c>
      <c r="H378">
        <f t="shared" si="22"/>
        <v>0</v>
      </c>
      <c r="I378">
        <f t="shared" si="23"/>
        <v>0</v>
      </c>
      <c r="J378" t="s">
        <v>299</v>
      </c>
      <c r="K378" t="s">
        <v>504</v>
      </c>
      <c r="L378" t="s">
        <v>631</v>
      </c>
      <c r="M378" t="s">
        <v>674</v>
      </c>
    </row>
    <row r="379" spans="1:13" x14ac:dyDescent="0.35">
      <c r="A379">
        <v>2023</v>
      </c>
      <c r="B379" t="s">
        <v>31</v>
      </c>
      <c r="C379" t="s">
        <v>152</v>
      </c>
      <c r="D379" t="s">
        <v>152</v>
      </c>
      <c r="E379" t="s">
        <v>654</v>
      </c>
      <c r="F379">
        <f t="shared" si="20"/>
        <v>0</v>
      </c>
      <c r="G379">
        <f t="shared" si="21"/>
        <v>0</v>
      </c>
      <c r="H379">
        <f t="shared" si="22"/>
        <v>0</v>
      </c>
      <c r="I379">
        <f t="shared" si="23"/>
        <v>0</v>
      </c>
      <c r="J379" t="s">
        <v>299</v>
      </c>
      <c r="K379" t="s">
        <v>504</v>
      </c>
      <c r="L379" t="s">
        <v>631</v>
      </c>
      <c r="M379" t="s">
        <v>674</v>
      </c>
    </row>
    <row r="380" spans="1:13" x14ac:dyDescent="0.35">
      <c r="A380">
        <v>2022</v>
      </c>
      <c r="B380" t="s">
        <v>31</v>
      </c>
      <c r="C380" t="s">
        <v>152</v>
      </c>
      <c r="D380" t="s">
        <v>152</v>
      </c>
      <c r="E380" t="s">
        <v>654</v>
      </c>
      <c r="F380">
        <f t="shared" si="20"/>
        <v>1</v>
      </c>
      <c r="G380">
        <f t="shared" si="21"/>
        <v>1</v>
      </c>
      <c r="H380">
        <f t="shared" si="22"/>
        <v>1</v>
      </c>
      <c r="I380">
        <f t="shared" si="23"/>
        <v>0</v>
      </c>
      <c r="J380" t="s">
        <v>299</v>
      </c>
      <c r="K380" t="s">
        <v>504</v>
      </c>
      <c r="L380" t="s">
        <v>631</v>
      </c>
      <c r="M380" t="s">
        <v>674</v>
      </c>
    </row>
    <row r="381" spans="1:13" x14ac:dyDescent="0.35">
      <c r="A381">
        <v>2021</v>
      </c>
      <c r="B381" t="s">
        <v>31</v>
      </c>
      <c r="C381" t="s">
        <v>502</v>
      </c>
      <c r="D381" t="s">
        <v>216</v>
      </c>
      <c r="E381" t="s">
        <v>503</v>
      </c>
      <c r="F381">
        <f t="shared" si="20"/>
        <v>1</v>
      </c>
      <c r="G381">
        <f t="shared" si="21"/>
        <v>1</v>
      </c>
      <c r="H381">
        <f t="shared" si="22"/>
        <v>1</v>
      </c>
      <c r="I381">
        <f t="shared" si="23"/>
        <v>1</v>
      </c>
      <c r="J381" t="s">
        <v>299</v>
      </c>
      <c r="K381" t="s">
        <v>504</v>
      </c>
      <c r="L381" t="s">
        <v>631</v>
      </c>
      <c r="M381" t="s">
        <v>669</v>
      </c>
    </row>
    <row r="382" spans="1:13" x14ac:dyDescent="0.35">
      <c r="A382">
        <v>2020</v>
      </c>
      <c r="B382" t="s">
        <v>31</v>
      </c>
      <c r="C382" t="s">
        <v>15</v>
      </c>
      <c r="D382" t="s">
        <v>81</v>
      </c>
      <c r="E382" t="s">
        <v>82</v>
      </c>
      <c r="F382">
        <f t="shared" si="20"/>
        <v>0</v>
      </c>
      <c r="G382">
        <f t="shared" si="21"/>
        <v>1</v>
      </c>
      <c r="H382">
        <f t="shared" si="22"/>
        <v>0</v>
      </c>
      <c r="I382">
        <f t="shared" si="23"/>
        <v>0</v>
      </c>
      <c r="J382" t="s">
        <v>266</v>
      </c>
      <c r="K382" t="s">
        <v>504</v>
      </c>
      <c r="L382" t="s">
        <v>626</v>
      </c>
      <c r="M382" t="s">
        <v>671</v>
      </c>
    </row>
    <row r="383" spans="1:13" x14ac:dyDescent="0.35">
      <c r="A383">
        <v>2019</v>
      </c>
      <c r="B383" t="s">
        <v>31</v>
      </c>
      <c r="C383" t="s">
        <v>15</v>
      </c>
      <c r="D383" t="s">
        <v>83</v>
      </c>
      <c r="E383" t="s">
        <v>82</v>
      </c>
      <c r="F383">
        <f t="shared" si="20"/>
        <v>0</v>
      </c>
      <c r="G383">
        <f t="shared" si="21"/>
        <v>1</v>
      </c>
      <c r="H383">
        <f t="shared" si="22"/>
        <v>0</v>
      </c>
      <c r="I383">
        <f t="shared" si="23"/>
        <v>0</v>
      </c>
      <c r="J383" t="s">
        <v>266</v>
      </c>
      <c r="K383" t="s">
        <v>504</v>
      </c>
      <c r="L383" t="s">
        <v>629</v>
      </c>
      <c r="M383" t="s">
        <v>671</v>
      </c>
    </row>
    <row r="384" spans="1:13" x14ac:dyDescent="0.35">
      <c r="A384">
        <v>2018</v>
      </c>
      <c r="B384" t="s">
        <v>31</v>
      </c>
      <c r="C384" t="s">
        <v>15</v>
      </c>
      <c r="D384" t="s">
        <v>16</v>
      </c>
      <c r="E384" t="s">
        <v>82</v>
      </c>
      <c r="F384">
        <f t="shared" si="20"/>
        <v>0</v>
      </c>
      <c r="G384">
        <f t="shared" si="21"/>
        <v>0</v>
      </c>
      <c r="H384">
        <f t="shared" si="22"/>
        <v>0</v>
      </c>
      <c r="I384">
        <f t="shared" si="23"/>
        <v>0</v>
      </c>
      <c r="J384" t="s">
        <v>266</v>
      </c>
      <c r="K384" t="s">
        <v>504</v>
      </c>
      <c r="L384" t="s">
        <v>626</v>
      </c>
      <c r="M384" t="s">
        <v>671</v>
      </c>
    </row>
    <row r="385" spans="1:13" x14ac:dyDescent="0.35">
      <c r="A385">
        <v>2017</v>
      </c>
      <c r="B385" t="s">
        <v>31</v>
      </c>
      <c r="C385" t="s">
        <v>15</v>
      </c>
      <c r="D385" t="s">
        <v>16</v>
      </c>
      <c r="E385" t="s">
        <v>82</v>
      </c>
      <c r="F385">
        <f t="shared" si="20"/>
        <v>1</v>
      </c>
      <c r="G385">
        <f t="shared" si="21"/>
        <v>1</v>
      </c>
      <c r="H385">
        <f t="shared" si="22"/>
        <v>0</v>
      </c>
      <c r="I385">
        <f t="shared" si="23"/>
        <v>0</v>
      </c>
      <c r="J385" t="s">
        <v>266</v>
      </c>
      <c r="K385" t="s">
        <v>504</v>
      </c>
      <c r="L385" t="s">
        <v>626</v>
      </c>
      <c r="M385" t="s">
        <v>671</v>
      </c>
    </row>
    <row r="386" spans="1:13" x14ac:dyDescent="0.35">
      <c r="A386">
        <v>2016</v>
      </c>
      <c r="B386" t="s">
        <v>31</v>
      </c>
      <c r="C386" t="s">
        <v>84</v>
      </c>
      <c r="D386" t="s">
        <v>85</v>
      </c>
      <c r="E386" t="s">
        <v>82</v>
      </c>
      <c r="F386">
        <f t="shared" ref="F386:F449" si="24">IF(C386=C387,0,1)</f>
        <v>0</v>
      </c>
      <c r="G386">
        <f t="shared" ref="G386:G449" si="25">IF(D386=D387,0,1)</f>
        <v>0</v>
      </c>
      <c r="H386">
        <f t="shared" ref="H386:H449" si="26">IF(E386=E387,0,1)</f>
        <v>1</v>
      </c>
      <c r="I386">
        <f t="shared" ref="I386:I449" si="27">IF(J386=J387,0,1)</f>
        <v>0</v>
      </c>
      <c r="J386" t="s">
        <v>266</v>
      </c>
      <c r="K386" t="s">
        <v>504</v>
      </c>
      <c r="L386" t="s">
        <v>626</v>
      </c>
      <c r="M386" t="s">
        <v>671</v>
      </c>
    </row>
    <row r="387" spans="1:13" x14ac:dyDescent="0.35">
      <c r="A387">
        <v>2015</v>
      </c>
      <c r="B387" t="s">
        <v>31</v>
      </c>
      <c r="C387" t="s">
        <v>84</v>
      </c>
      <c r="D387" t="s">
        <v>85</v>
      </c>
      <c r="E387" t="s">
        <v>86</v>
      </c>
      <c r="F387">
        <f t="shared" si="24"/>
        <v>0</v>
      </c>
      <c r="G387">
        <f t="shared" si="25"/>
        <v>1</v>
      </c>
      <c r="H387">
        <f t="shared" si="26"/>
        <v>0</v>
      </c>
      <c r="I387">
        <f t="shared" si="27"/>
        <v>0</v>
      </c>
      <c r="J387" t="s">
        <v>266</v>
      </c>
      <c r="K387" t="s">
        <v>504</v>
      </c>
      <c r="L387" t="s">
        <v>626</v>
      </c>
      <c r="M387" t="s">
        <v>665</v>
      </c>
    </row>
    <row r="388" spans="1:13" x14ac:dyDescent="0.35">
      <c r="A388">
        <v>2014</v>
      </c>
      <c r="B388" t="s">
        <v>31</v>
      </c>
      <c r="C388" t="s">
        <v>84</v>
      </c>
      <c r="D388" t="s">
        <v>87</v>
      </c>
      <c r="E388" t="s">
        <v>86</v>
      </c>
      <c r="F388">
        <f t="shared" si="24"/>
        <v>0</v>
      </c>
      <c r="G388">
        <f t="shared" si="25"/>
        <v>0</v>
      </c>
      <c r="H388">
        <f t="shared" si="26"/>
        <v>0</v>
      </c>
      <c r="I388">
        <f t="shared" si="27"/>
        <v>0</v>
      </c>
      <c r="J388" t="s">
        <v>266</v>
      </c>
      <c r="K388" t="s">
        <v>504</v>
      </c>
      <c r="L388" t="s">
        <v>626</v>
      </c>
      <c r="M388" t="s">
        <v>665</v>
      </c>
    </row>
    <row r="389" spans="1:13" x14ac:dyDescent="0.35">
      <c r="A389">
        <v>2013</v>
      </c>
      <c r="B389" t="s">
        <v>31</v>
      </c>
      <c r="C389" t="s">
        <v>84</v>
      </c>
      <c r="D389" t="s">
        <v>87</v>
      </c>
      <c r="E389" t="s">
        <v>86</v>
      </c>
      <c r="F389">
        <f t="shared" si="24"/>
        <v>1</v>
      </c>
      <c r="G389">
        <f t="shared" si="25"/>
        <v>1</v>
      </c>
      <c r="H389">
        <f t="shared" si="26"/>
        <v>1</v>
      </c>
      <c r="I389">
        <f t="shared" si="27"/>
        <v>1</v>
      </c>
      <c r="J389" t="s">
        <v>266</v>
      </c>
      <c r="K389" t="s">
        <v>504</v>
      </c>
      <c r="L389" t="s">
        <v>626</v>
      </c>
      <c r="M389" t="s">
        <v>665</v>
      </c>
    </row>
    <row r="390" spans="1:13" x14ac:dyDescent="0.35">
      <c r="A390">
        <v>2012</v>
      </c>
      <c r="B390" t="s">
        <v>31</v>
      </c>
      <c r="C390" t="s">
        <v>61</v>
      </c>
      <c r="D390" t="s">
        <v>88</v>
      </c>
      <c r="E390" t="s">
        <v>89</v>
      </c>
      <c r="F390">
        <f t="shared" si="24"/>
        <v>1</v>
      </c>
      <c r="G390">
        <f t="shared" si="25"/>
        <v>1</v>
      </c>
      <c r="H390">
        <f t="shared" si="26"/>
        <v>0</v>
      </c>
      <c r="I390">
        <f t="shared" si="27"/>
        <v>0</v>
      </c>
      <c r="J390" t="s">
        <v>267</v>
      </c>
      <c r="K390" t="s">
        <v>504</v>
      </c>
      <c r="L390" t="s">
        <v>626</v>
      </c>
      <c r="M390" t="s">
        <v>669</v>
      </c>
    </row>
    <row r="391" spans="1:13" x14ac:dyDescent="0.35">
      <c r="A391">
        <v>2011</v>
      </c>
      <c r="B391" t="s">
        <v>31</v>
      </c>
      <c r="C391" t="s">
        <v>90</v>
      </c>
      <c r="D391" t="s">
        <v>91</v>
      </c>
      <c r="E391" t="s">
        <v>89</v>
      </c>
      <c r="F391">
        <f t="shared" si="24"/>
        <v>0</v>
      </c>
      <c r="G391">
        <f t="shared" si="25"/>
        <v>0</v>
      </c>
      <c r="H391">
        <f t="shared" si="26"/>
        <v>0</v>
      </c>
      <c r="I391">
        <f t="shared" si="27"/>
        <v>0</v>
      </c>
      <c r="J391" t="s">
        <v>267</v>
      </c>
      <c r="K391" t="s">
        <v>505</v>
      </c>
      <c r="L391" t="s">
        <v>626</v>
      </c>
      <c r="M391" t="s">
        <v>669</v>
      </c>
    </row>
    <row r="392" spans="1:13" hidden="1" x14ac:dyDescent="0.35">
      <c r="A392">
        <v>2010</v>
      </c>
      <c r="B392" t="s">
        <v>31</v>
      </c>
      <c r="C392" t="s">
        <v>90</v>
      </c>
      <c r="D392" t="s">
        <v>91</v>
      </c>
      <c r="E392" t="s">
        <v>89</v>
      </c>
      <c r="F392">
        <f t="shared" si="24"/>
        <v>0</v>
      </c>
      <c r="G392">
        <f t="shared" si="25"/>
        <v>0</v>
      </c>
      <c r="H392">
        <f t="shared" si="26"/>
        <v>0</v>
      </c>
      <c r="I392">
        <f t="shared" si="27"/>
        <v>0</v>
      </c>
      <c r="J392" t="s">
        <v>267</v>
      </c>
      <c r="K392" t="s">
        <v>505</v>
      </c>
      <c r="L392" t="s">
        <v>626</v>
      </c>
      <c r="M392" t="s">
        <v>669</v>
      </c>
    </row>
    <row r="393" spans="1:13" hidden="1" x14ac:dyDescent="0.35">
      <c r="A393">
        <v>2009</v>
      </c>
      <c r="B393" t="s">
        <v>31</v>
      </c>
      <c r="C393" t="s">
        <v>90</v>
      </c>
      <c r="D393" t="s">
        <v>91</v>
      </c>
      <c r="E393" t="s">
        <v>89</v>
      </c>
      <c r="F393">
        <f t="shared" si="24"/>
        <v>0</v>
      </c>
      <c r="G393">
        <f t="shared" si="25"/>
        <v>0</v>
      </c>
      <c r="H393">
        <f t="shared" si="26"/>
        <v>1</v>
      </c>
      <c r="I393">
        <f t="shared" si="27"/>
        <v>1</v>
      </c>
      <c r="J393" t="s">
        <v>267</v>
      </c>
      <c r="K393" t="s">
        <v>505</v>
      </c>
      <c r="L393" t="s">
        <v>633</v>
      </c>
    </row>
    <row r="394" spans="1:13" hidden="1" x14ac:dyDescent="0.35">
      <c r="A394">
        <v>2008</v>
      </c>
      <c r="B394" t="s">
        <v>31</v>
      </c>
      <c r="C394" t="s">
        <v>90</v>
      </c>
      <c r="D394" t="s">
        <v>91</v>
      </c>
      <c r="E394" t="s">
        <v>50</v>
      </c>
      <c r="F394">
        <f t="shared" si="24"/>
        <v>0</v>
      </c>
      <c r="G394">
        <f t="shared" si="25"/>
        <v>0</v>
      </c>
      <c r="H394">
        <f t="shared" si="26"/>
        <v>1</v>
      </c>
      <c r="I394">
        <f t="shared" si="27"/>
        <v>0</v>
      </c>
      <c r="J394" t="s">
        <v>506</v>
      </c>
      <c r="K394" t="s">
        <v>505</v>
      </c>
      <c r="L394" t="s">
        <v>633</v>
      </c>
    </row>
    <row r="395" spans="1:13" hidden="1" x14ac:dyDescent="0.35">
      <c r="A395">
        <v>2007</v>
      </c>
      <c r="B395" t="s">
        <v>31</v>
      </c>
      <c r="C395" t="s">
        <v>90</v>
      </c>
      <c r="D395" t="s">
        <v>91</v>
      </c>
      <c r="E395" t="s">
        <v>240</v>
      </c>
      <c r="F395">
        <f t="shared" si="24"/>
        <v>0</v>
      </c>
      <c r="G395">
        <f t="shared" si="25"/>
        <v>1</v>
      </c>
      <c r="H395">
        <f t="shared" si="26"/>
        <v>0</v>
      </c>
      <c r="I395">
        <f t="shared" si="27"/>
        <v>0</v>
      </c>
      <c r="J395" t="s">
        <v>506</v>
      </c>
      <c r="K395" t="s">
        <v>505</v>
      </c>
      <c r="L395" t="s">
        <v>633</v>
      </c>
    </row>
    <row r="396" spans="1:13" hidden="1" x14ac:dyDescent="0.35">
      <c r="A396">
        <v>2006</v>
      </c>
      <c r="B396" t="s">
        <v>31</v>
      </c>
      <c r="C396" t="s">
        <v>90</v>
      </c>
      <c r="D396" t="s">
        <v>507</v>
      </c>
      <c r="E396" t="s">
        <v>240</v>
      </c>
      <c r="F396">
        <f t="shared" si="24"/>
        <v>0</v>
      </c>
      <c r="G396">
        <f t="shared" si="25"/>
        <v>0</v>
      </c>
      <c r="H396">
        <f t="shared" si="26"/>
        <v>0</v>
      </c>
      <c r="I396">
        <f t="shared" si="27"/>
        <v>0</v>
      </c>
      <c r="J396" t="s">
        <v>506</v>
      </c>
      <c r="K396" t="s">
        <v>505</v>
      </c>
      <c r="L396" t="s">
        <v>633</v>
      </c>
    </row>
    <row r="397" spans="1:13" hidden="1" x14ac:dyDescent="0.35">
      <c r="A397">
        <v>2005</v>
      </c>
      <c r="B397" t="s">
        <v>31</v>
      </c>
      <c r="C397" t="s">
        <v>90</v>
      </c>
      <c r="D397" t="s">
        <v>507</v>
      </c>
      <c r="E397" t="s">
        <v>240</v>
      </c>
      <c r="F397">
        <f t="shared" si="24"/>
        <v>0</v>
      </c>
      <c r="G397">
        <f t="shared" si="25"/>
        <v>1</v>
      </c>
      <c r="H397">
        <f t="shared" si="26"/>
        <v>0</v>
      </c>
      <c r="I397">
        <f t="shared" si="27"/>
        <v>0</v>
      </c>
      <c r="J397" t="s">
        <v>506</v>
      </c>
      <c r="K397" t="s">
        <v>505</v>
      </c>
      <c r="L397" t="s">
        <v>633</v>
      </c>
    </row>
    <row r="398" spans="1:13" hidden="1" x14ac:dyDescent="0.35">
      <c r="A398">
        <v>2004</v>
      </c>
      <c r="B398" t="s">
        <v>31</v>
      </c>
      <c r="C398" t="s">
        <v>90</v>
      </c>
      <c r="D398" t="s">
        <v>159</v>
      </c>
      <c r="E398" t="s">
        <v>240</v>
      </c>
      <c r="F398">
        <f t="shared" si="24"/>
        <v>0</v>
      </c>
      <c r="G398">
        <f t="shared" si="25"/>
        <v>0</v>
      </c>
      <c r="H398">
        <f t="shared" si="26"/>
        <v>0</v>
      </c>
      <c r="I398">
        <f t="shared" si="27"/>
        <v>0</v>
      </c>
      <c r="J398" t="s">
        <v>506</v>
      </c>
      <c r="K398" t="s">
        <v>505</v>
      </c>
      <c r="L398" t="s">
        <v>621</v>
      </c>
    </row>
    <row r="399" spans="1:13" hidden="1" x14ac:dyDescent="0.35">
      <c r="A399">
        <v>2003</v>
      </c>
      <c r="B399" t="s">
        <v>31</v>
      </c>
      <c r="C399" t="s">
        <v>90</v>
      </c>
      <c r="D399" t="s">
        <v>159</v>
      </c>
      <c r="E399" t="s">
        <v>240</v>
      </c>
      <c r="F399">
        <f t="shared" si="24"/>
        <v>1</v>
      </c>
      <c r="G399">
        <f t="shared" si="25"/>
        <v>1</v>
      </c>
      <c r="H399">
        <f t="shared" si="26"/>
        <v>1</v>
      </c>
      <c r="I399">
        <f t="shared" si="27"/>
        <v>1</v>
      </c>
      <c r="J399" t="s">
        <v>506</v>
      </c>
      <c r="K399" t="s">
        <v>505</v>
      </c>
      <c r="L399" t="s">
        <v>621</v>
      </c>
    </row>
    <row r="400" spans="1:13" hidden="1" x14ac:dyDescent="0.35">
      <c r="A400">
        <v>2002</v>
      </c>
      <c r="B400" t="s">
        <v>31</v>
      </c>
      <c r="C400" t="s">
        <v>207</v>
      </c>
      <c r="D400" t="s">
        <v>207</v>
      </c>
      <c r="E400" t="s">
        <v>508</v>
      </c>
      <c r="F400">
        <f t="shared" si="24"/>
        <v>0</v>
      </c>
      <c r="G400">
        <f t="shared" si="25"/>
        <v>1</v>
      </c>
      <c r="H400">
        <f t="shared" si="26"/>
        <v>1</v>
      </c>
      <c r="I400">
        <f t="shared" si="27"/>
        <v>0</v>
      </c>
      <c r="J400" t="s">
        <v>207</v>
      </c>
      <c r="K400" t="s">
        <v>505</v>
      </c>
    </row>
    <row r="401" spans="1:13" hidden="1" x14ac:dyDescent="0.35">
      <c r="A401">
        <v>2001</v>
      </c>
      <c r="B401" t="s">
        <v>31</v>
      </c>
      <c r="C401" t="s">
        <v>207</v>
      </c>
      <c r="D401" t="s">
        <v>393</v>
      </c>
      <c r="E401" t="s">
        <v>509</v>
      </c>
      <c r="F401">
        <f t="shared" si="24"/>
        <v>0</v>
      </c>
      <c r="G401">
        <f t="shared" si="25"/>
        <v>1</v>
      </c>
      <c r="H401">
        <f t="shared" si="26"/>
        <v>1</v>
      </c>
      <c r="I401">
        <f t="shared" si="27"/>
        <v>0</v>
      </c>
      <c r="J401" t="s">
        <v>207</v>
      </c>
      <c r="K401" t="s">
        <v>505</v>
      </c>
      <c r="L401" t="s">
        <v>631</v>
      </c>
    </row>
    <row r="402" spans="1:13" hidden="1" x14ac:dyDescent="0.35">
      <c r="A402">
        <v>2000</v>
      </c>
      <c r="B402" t="s">
        <v>31</v>
      </c>
      <c r="C402" t="s">
        <v>207</v>
      </c>
      <c r="D402" t="s">
        <v>207</v>
      </c>
      <c r="E402" t="s">
        <v>217</v>
      </c>
      <c r="F402">
        <f t="shared" si="24"/>
        <v>0</v>
      </c>
      <c r="G402">
        <f t="shared" si="25"/>
        <v>0</v>
      </c>
      <c r="H402">
        <f t="shared" si="26"/>
        <v>0</v>
      </c>
      <c r="I402">
        <f t="shared" si="27"/>
        <v>0</v>
      </c>
      <c r="J402" t="s">
        <v>207</v>
      </c>
      <c r="K402" t="s">
        <v>505</v>
      </c>
    </row>
    <row r="403" spans="1:13" hidden="1" x14ac:dyDescent="0.35">
      <c r="A403">
        <v>1999</v>
      </c>
      <c r="B403" t="s">
        <v>31</v>
      </c>
      <c r="C403" t="s">
        <v>207</v>
      </c>
      <c r="D403" t="s">
        <v>207</v>
      </c>
      <c r="E403" t="s">
        <v>217</v>
      </c>
      <c r="F403">
        <f t="shared" si="24"/>
        <v>1</v>
      </c>
      <c r="G403">
        <f t="shared" si="25"/>
        <v>1</v>
      </c>
      <c r="H403">
        <f t="shared" si="26"/>
        <v>1</v>
      </c>
      <c r="I403">
        <f t="shared" si="27"/>
        <v>1</v>
      </c>
      <c r="J403" t="s">
        <v>207</v>
      </c>
      <c r="K403" t="s">
        <v>505</v>
      </c>
    </row>
    <row r="404" spans="1:13" x14ac:dyDescent="0.35">
      <c r="A404">
        <v>2025</v>
      </c>
      <c r="B404" t="s">
        <v>146</v>
      </c>
      <c r="C404" t="s">
        <v>147</v>
      </c>
      <c r="D404" t="s">
        <v>147</v>
      </c>
      <c r="E404" t="s">
        <v>149</v>
      </c>
      <c r="F404">
        <f t="shared" si="24"/>
        <v>0</v>
      </c>
      <c r="G404">
        <f t="shared" si="25"/>
        <v>0</v>
      </c>
      <c r="H404">
        <f t="shared" si="26"/>
        <v>0</v>
      </c>
      <c r="I404">
        <f t="shared" si="27"/>
        <v>0</v>
      </c>
      <c r="J404" t="s">
        <v>274</v>
      </c>
      <c r="K404" t="s">
        <v>510</v>
      </c>
      <c r="L404" t="s">
        <v>631</v>
      </c>
      <c r="M404" t="s">
        <v>674</v>
      </c>
    </row>
    <row r="405" spans="1:13" x14ac:dyDescent="0.35">
      <c r="A405">
        <v>2024</v>
      </c>
      <c r="B405" t="s">
        <v>146</v>
      </c>
      <c r="C405" t="s">
        <v>147</v>
      </c>
      <c r="D405" t="s">
        <v>147</v>
      </c>
      <c r="E405" t="s">
        <v>149</v>
      </c>
      <c r="F405">
        <f t="shared" si="24"/>
        <v>0</v>
      </c>
      <c r="G405">
        <f t="shared" si="25"/>
        <v>0</v>
      </c>
      <c r="H405">
        <f t="shared" si="26"/>
        <v>0</v>
      </c>
      <c r="I405">
        <f t="shared" si="27"/>
        <v>0</v>
      </c>
      <c r="J405" t="s">
        <v>274</v>
      </c>
      <c r="K405" t="s">
        <v>510</v>
      </c>
      <c r="L405" t="s">
        <v>631</v>
      </c>
      <c r="M405" t="s">
        <v>674</v>
      </c>
    </row>
    <row r="406" spans="1:13" x14ac:dyDescent="0.35">
      <c r="A406">
        <v>2023</v>
      </c>
      <c r="B406" t="s">
        <v>146</v>
      </c>
      <c r="C406" t="s">
        <v>147</v>
      </c>
      <c r="D406" t="s">
        <v>147</v>
      </c>
      <c r="E406" t="s">
        <v>149</v>
      </c>
      <c r="F406">
        <f t="shared" si="24"/>
        <v>0</v>
      </c>
      <c r="G406">
        <f t="shared" si="25"/>
        <v>1</v>
      </c>
      <c r="H406">
        <f t="shared" si="26"/>
        <v>0</v>
      </c>
      <c r="I406">
        <f t="shared" si="27"/>
        <v>0</v>
      </c>
      <c r="J406" t="s">
        <v>274</v>
      </c>
      <c r="K406" t="s">
        <v>510</v>
      </c>
      <c r="L406" t="s">
        <v>631</v>
      </c>
      <c r="M406" t="s">
        <v>674</v>
      </c>
    </row>
    <row r="407" spans="1:13" x14ac:dyDescent="0.35">
      <c r="A407">
        <v>2022</v>
      </c>
      <c r="B407" t="s">
        <v>146</v>
      </c>
      <c r="C407" t="s">
        <v>147</v>
      </c>
      <c r="D407" t="s">
        <v>148</v>
      </c>
      <c r="E407" t="s">
        <v>149</v>
      </c>
      <c r="F407">
        <f t="shared" si="24"/>
        <v>0</v>
      </c>
      <c r="G407">
        <f t="shared" si="25"/>
        <v>0</v>
      </c>
      <c r="H407">
        <f t="shared" si="26"/>
        <v>0</v>
      </c>
      <c r="I407">
        <f t="shared" si="27"/>
        <v>0</v>
      </c>
      <c r="J407" t="s">
        <v>274</v>
      </c>
      <c r="K407" t="s">
        <v>510</v>
      </c>
      <c r="L407" t="s">
        <v>631</v>
      </c>
      <c r="M407" t="s">
        <v>674</v>
      </c>
    </row>
    <row r="408" spans="1:13" x14ac:dyDescent="0.35">
      <c r="A408">
        <v>2021</v>
      </c>
      <c r="B408" t="s">
        <v>146</v>
      </c>
      <c r="C408" t="s">
        <v>147</v>
      </c>
      <c r="D408" t="s">
        <v>148</v>
      </c>
      <c r="E408" t="s">
        <v>149</v>
      </c>
      <c r="F408">
        <f t="shared" si="24"/>
        <v>0</v>
      </c>
      <c r="G408">
        <f t="shared" si="25"/>
        <v>0</v>
      </c>
      <c r="H408">
        <f t="shared" si="26"/>
        <v>0</v>
      </c>
      <c r="I408">
        <f t="shared" si="27"/>
        <v>0</v>
      </c>
      <c r="J408" t="s">
        <v>274</v>
      </c>
      <c r="K408" t="s">
        <v>510</v>
      </c>
      <c r="L408" t="s">
        <v>631</v>
      </c>
      <c r="M408" t="s">
        <v>674</v>
      </c>
    </row>
    <row r="409" spans="1:13" x14ac:dyDescent="0.35">
      <c r="A409">
        <v>2020</v>
      </c>
      <c r="B409" t="s">
        <v>146</v>
      </c>
      <c r="C409" t="s">
        <v>147</v>
      </c>
      <c r="D409" t="s">
        <v>148</v>
      </c>
      <c r="E409" t="s">
        <v>149</v>
      </c>
      <c r="F409">
        <f t="shared" si="24"/>
        <v>0</v>
      </c>
      <c r="G409">
        <f t="shared" si="25"/>
        <v>0</v>
      </c>
      <c r="H409">
        <f t="shared" si="26"/>
        <v>0</v>
      </c>
      <c r="I409">
        <f t="shared" si="27"/>
        <v>0</v>
      </c>
      <c r="J409" t="s">
        <v>274</v>
      </c>
      <c r="K409" t="s">
        <v>510</v>
      </c>
      <c r="L409" t="s">
        <v>631</v>
      </c>
      <c r="M409" t="s">
        <v>674</v>
      </c>
    </row>
    <row r="410" spans="1:13" x14ac:dyDescent="0.35">
      <c r="A410">
        <v>2019</v>
      </c>
      <c r="B410" t="s">
        <v>146</v>
      </c>
      <c r="C410" t="s">
        <v>147</v>
      </c>
      <c r="D410" t="s">
        <v>148</v>
      </c>
      <c r="E410" t="s">
        <v>149</v>
      </c>
      <c r="F410">
        <f t="shared" si="24"/>
        <v>0</v>
      </c>
      <c r="G410">
        <f t="shared" si="25"/>
        <v>0</v>
      </c>
      <c r="H410">
        <f t="shared" si="26"/>
        <v>1</v>
      </c>
      <c r="I410">
        <f t="shared" si="27"/>
        <v>0</v>
      </c>
      <c r="J410" t="s">
        <v>274</v>
      </c>
      <c r="K410" t="s">
        <v>510</v>
      </c>
      <c r="L410" t="s">
        <v>631</v>
      </c>
      <c r="M410" t="s">
        <v>674</v>
      </c>
    </row>
    <row r="411" spans="1:13" x14ac:dyDescent="0.35">
      <c r="A411">
        <v>2018</v>
      </c>
      <c r="B411" t="s">
        <v>146</v>
      </c>
      <c r="C411" t="s">
        <v>147</v>
      </c>
      <c r="D411" t="s">
        <v>148</v>
      </c>
      <c r="E411" t="s">
        <v>150</v>
      </c>
      <c r="F411">
        <f t="shared" si="24"/>
        <v>0</v>
      </c>
      <c r="G411">
        <f t="shared" si="25"/>
        <v>1</v>
      </c>
      <c r="H411">
        <f t="shared" si="26"/>
        <v>0</v>
      </c>
      <c r="I411">
        <f t="shared" si="27"/>
        <v>0</v>
      </c>
      <c r="J411" t="s">
        <v>274</v>
      </c>
      <c r="K411" t="s">
        <v>510</v>
      </c>
      <c r="L411" t="s">
        <v>631</v>
      </c>
      <c r="M411" t="s">
        <v>671</v>
      </c>
    </row>
    <row r="412" spans="1:13" x14ac:dyDescent="0.35">
      <c r="A412">
        <v>2017</v>
      </c>
      <c r="B412" t="s">
        <v>146</v>
      </c>
      <c r="C412" t="s">
        <v>147</v>
      </c>
      <c r="D412" t="s">
        <v>151</v>
      </c>
      <c r="E412" t="s">
        <v>150</v>
      </c>
      <c r="F412">
        <f t="shared" si="24"/>
        <v>0</v>
      </c>
      <c r="G412">
        <f t="shared" si="25"/>
        <v>1</v>
      </c>
      <c r="H412">
        <f t="shared" si="26"/>
        <v>0</v>
      </c>
      <c r="I412">
        <f t="shared" si="27"/>
        <v>1</v>
      </c>
      <c r="J412" t="s">
        <v>274</v>
      </c>
      <c r="K412" t="s">
        <v>510</v>
      </c>
      <c r="L412" t="s">
        <v>631</v>
      </c>
      <c r="M412" t="s">
        <v>671</v>
      </c>
    </row>
    <row r="413" spans="1:13" x14ac:dyDescent="0.35">
      <c r="A413">
        <v>2016</v>
      </c>
      <c r="B413" t="s">
        <v>146</v>
      </c>
      <c r="C413" t="s">
        <v>147</v>
      </c>
      <c r="D413" t="s">
        <v>113</v>
      </c>
      <c r="E413" t="s">
        <v>150</v>
      </c>
      <c r="F413">
        <f t="shared" si="24"/>
        <v>0</v>
      </c>
      <c r="G413">
        <f t="shared" si="25"/>
        <v>1</v>
      </c>
      <c r="H413">
        <f t="shared" si="26"/>
        <v>0</v>
      </c>
      <c r="I413">
        <f t="shared" si="27"/>
        <v>0</v>
      </c>
      <c r="J413" t="s">
        <v>117</v>
      </c>
      <c r="K413" t="s">
        <v>510</v>
      </c>
      <c r="L413" t="s">
        <v>631</v>
      </c>
      <c r="M413" t="s">
        <v>671</v>
      </c>
    </row>
    <row r="414" spans="1:13" x14ac:dyDescent="0.35">
      <c r="A414">
        <v>2015</v>
      </c>
      <c r="B414" t="s">
        <v>146</v>
      </c>
      <c r="C414" t="s">
        <v>147</v>
      </c>
      <c r="D414" t="s">
        <v>152</v>
      </c>
      <c r="E414" t="s">
        <v>150</v>
      </c>
      <c r="F414">
        <f t="shared" si="24"/>
        <v>0</v>
      </c>
      <c r="G414">
        <f t="shared" si="25"/>
        <v>0</v>
      </c>
      <c r="H414">
        <f t="shared" si="26"/>
        <v>0</v>
      </c>
      <c r="I414">
        <f t="shared" si="27"/>
        <v>0</v>
      </c>
      <c r="J414" t="s">
        <v>117</v>
      </c>
      <c r="K414" t="s">
        <v>510</v>
      </c>
      <c r="L414" t="s">
        <v>631</v>
      </c>
      <c r="M414" t="s">
        <v>671</v>
      </c>
    </row>
    <row r="415" spans="1:13" x14ac:dyDescent="0.35">
      <c r="A415">
        <v>2014</v>
      </c>
      <c r="B415" t="s">
        <v>146</v>
      </c>
      <c r="C415" t="s">
        <v>147</v>
      </c>
      <c r="D415" t="s">
        <v>152</v>
      </c>
      <c r="E415" t="s">
        <v>150</v>
      </c>
      <c r="F415">
        <f t="shared" si="24"/>
        <v>0</v>
      </c>
      <c r="G415">
        <f t="shared" si="25"/>
        <v>0</v>
      </c>
      <c r="H415">
        <f t="shared" si="26"/>
        <v>0</v>
      </c>
      <c r="I415">
        <f t="shared" si="27"/>
        <v>0</v>
      </c>
      <c r="J415" t="s">
        <v>117</v>
      </c>
      <c r="K415" t="s">
        <v>510</v>
      </c>
      <c r="L415" t="s">
        <v>631</v>
      </c>
      <c r="M415" t="s">
        <v>671</v>
      </c>
    </row>
    <row r="416" spans="1:13" x14ac:dyDescent="0.35">
      <c r="A416">
        <v>2013</v>
      </c>
      <c r="B416" t="s">
        <v>146</v>
      </c>
      <c r="C416" t="s">
        <v>147</v>
      </c>
      <c r="D416" t="s">
        <v>152</v>
      </c>
      <c r="E416" t="s">
        <v>150</v>
      </c>
      <c r="F416">
        <f t="shared" si="24"/>
        <v>1</v>
      </c>
      <c r="G416">
        <f t="shared" si="25"/>
        <v>1</v>
      </c>
      <c r="H416">
        <f t="shared" si="26"/>
        <v>1</v>
      </c>
      <c r="I416">
        <f t="shared" si="27"/>
        <v>1</v>
      </c>
      <c r="J416" t="s">
        <v>117</v>
      </c>
      <c r="K416" t="s">
        <v>510</v>
      </c>
      <c r="L416" t="s">
        <v>631</v>
      </c>
      <c r="M416" t="s">
        <v>671</v>
      </c>
    </row>
    <row r="417" spans="1:13" x14ac:dyDescent="0.35">
      <c r="A417">
        <v>2012</v>
      </c>
      <c r="B417" t="s">
        <v>146</v>
      </c>
      <c r="C417" t="s">
        <v>94</v>
      </c>
      <c r="D417" t="s">
        <v>9</v>
      </c>
      <c r="E417" t="s">
        <v>94</v>
      </c>
      <c r="F417">
        <f t="shared" si="24"/>
        <v>0</v>
      </c>
      <c r="G417">
        <f t="shared" si="25"/>
        <v>1</v>
      </c>
      <c r="H417">
        <f t="shared" si="26"/>
        <v>0</v>
      </c>
      <c r="I417">
        <f t="shared" si="27"/>
        <v>0</v>
      </c>
      <c r="J417" t="s">
        <v>275</v>
      </c>
      <c r="K417" t="s">
        <v>510</v>
      </c>
      <c r="L417" t="s">
        <v>629</v>
      </c>
      <c r="M417" t="s">
        <v>669</v>
      </c>
    </row>
    <row r="418" spans="1:13" x14ac:dyDescent="0.35">
      <c r="A418">
        <v>2011</v>
      </c>
      <c r="B418" t="s">
        <v>146</v>
      </c>
      <c r="C418" t="s">
        <v>94</v>
      </c>
      <c r="D418" t="s">
        <v>153</v>
      </c>
      <c r="E418" t="s">
        <v>94</v>
      </c>
      <c r="F418">
        <f t="shared" si="24"/>
        <v>1</v>
      </c>
      <c r="G418">
        <f t="shared" si="25"/>
        <v>1</v>
      </c>
      <c r="H418">
        <f t="shared" si="26"/>
        <v>0</v>
      </c>
      <c r="I418">
        <f t="shared" si="27"/>
        <v>0</v>
      </c>
      <c r="J418" t="s">
        <v>275</v>
      </c>
      <c r="K418" t="s">
        <v>510</v>
      </c>
      <c r="L418" t="s">
        <v>626</v>
      </c>
      <c r="M418" t="s">
        <v>669</v>
      </c>
    </row>
    <row r="419" spans="1:13" hidden="1" x14ac:dyDescent="0.35">
      <c r="A419">
        <v>2010</v>
      </c>
      <c r="B419" t="s">
        <v>146</v>
      </c>
      <c r="C419" t="s">
        <v>102</v>
      </c>
      <c r="D419" t="s">
        <v>102</v>
      </c>
      <c r="E419" t="s">
        <v>94</v>
      </c>
      <c r="F419">
        <f t="shared" si="24"/>
        <v>0</v>
      </c>
      <c r="G419">
        <f t="shared" si="25"/>
        <v>0</v>
      </c>
      <c r="H419">
        <f t="shared" si="26"/>
        <v>1</v>
      </c>
      <c r="I419">
        <f t="shared" si="27"/>
        <v>0</v>
      </c>
      <c r="J419" t="s">
        <v>275</v>
      </c>
      <c r="K419" t="s">
        <v>510</v>
      </c>
      <c r="L419" t="s">
        <v>622</v>
      </c>
      <c r="M419" t="s">
        <v>669</v>
      </c>
    </row>
    <row r="420" spans="1:13" hidden="1" x14ac:dyDescent="0.35">
      <c r="A420">
        <v>2009</v>
      </c>
      <c r="B420" t="s">
        <v>146</v>
      </c>
      <c r="C420" t="s">
        <v>102</v>
      </c>
      <c r="D420" t="s">
        <v>102</v>
      </c>
      <c r="E420" t="s">
        <v>382</v>
      </c>
      <c r="F420">
        <f t="shared" si="24"/>
        <v>1</v>
      </c>
      <c r="G420">
        <f t="shared" si="25"/>
        <v>1</v>
      </c>
      <c r="H420">
        <f t="shared" si="26"/>
        <v>1</v>
      </c>
      <c r="I420">
        <f t="shared" si="27"/>
        <v>1</v>
      </c>
      <c r="J420" t="s">
        <v>275</v>
      </c>
      <c r="K420" t="s">
        <v>510</v>
      </c>
    </row>
    <row r="421" spans="1:13" hidden="1" x14ac:dyDescent="0.35">
      <c r="A421">
        <v>2008</v>
      </c>
      <c r="B421" t="s">
        <v>146</v>
      </c>
      <c r="C421" t="s">
        <v>512</v>
      </c>
      <c r="D421" t="s">
        <v>18</v>
      </c>
      <c r="E421" t="s">
        <v>513</v>
      </c>
      <c r="F421">
        <f t="shared" si="24"/>
        <v>0</v>
      </c>
      <c r="G421">
        <f t="shared" si="25"/>
        <v>1</v>
      </c>
      <c r="H421">
        <f t="shared" si="26"/>
        <v>0</v>
      </c>
      <c r="I421">
        <f t="shared" si="27"/>
        <v>0</v>
      </c>
      <c r="J421" t="s">
        <v>514</v>
      </c>
      <c r="K421" t="s">
        <v>510</v>
      </c>
      <c r="L421" t="s">
        <v>634</v>
      </c>
    </row>
    <row r="422" spans="1:13" hidden="1" x14ac:dyDescent="0.35">
      <c r="A422">
        <v>2007</v>
      </c>
      <c r="B422" t="s">
        <v>146</v>
      </c>
      <c r="C422" t="s">
        <v>512</v>
      </c>
      <c r="D422" t="s">
        <v>515</v>
      </c>
      <c r="E422" t="s">
        <v>513</v>
      </c>
      <c r="F422">
        <f t="shared" si="24"/>
        <v>0</v>
      </c>
      <c r="G422">
        <f t="shared" si="25"/>
        <v>0</v>
      </c>
      <c r="H422">
        <f t="shared" si="26"/>
        <v>0</v>
      </c>
      <c r="I422">
        <f t="shared" si="27"/>
        <v>0</v>
      </c>
      <c r="J422" t="s">
        <v>514</v>
      </c>
      <c r="K422" t="s">
        <v>510</v>
      </c>
    </row>
    <row r="423" spans="1:13" hidden="1" x14ac:dyDescent="0.35">
      <c r="A423">
        <v>2006</v>
      </c>
      <c r="B423" t="s">
        <v>146</v>
      </c>
      <c r="C423" t="s">
        <v>512</v>
      </c>
      <c r="D423" t="s">
        <v>515</v>
      </c>
      <c r="E423" t="s">
        <v>513</v>
      </c>
      <c r="F423">
        <f t="shared" si="24"/>
        <v>1</v>
      </c>
      <c r="G423">
        <f t="shared" si="25"/>
        <v>1</v>
      </c>
      <c r="H423">
        <f t="shared" si="26"/>
        <v>0</v>
      </c>
      <c r="I423">
        <f t="shared" si="27"/>
        <v>0</v>
      </c>
      <c r="J423" t="s">
        <v>514</v>
      </c>
      <c r="K423" t="s">
        <v>511</v>
      </c>
    </row>
    <row r="424" spans="1:13" hidden="1" x14ac:dyDescent="0.35">
      <c r="A424">
        <v>2005</v>
      </c>
      <c r="B424" t="s">
        <v>146</v>
      </c>
      <c r="C424" t="s">
        <v>516</v>
      </c>
      <c r="D424" t="s">
        <v>517</v>
      </c>
      <c r="E424" t="s">
        <v>513</v>
      </c>
      <c r="F424">
        <f t="shared" si="24"/>
        <v>0</v>
      </c>
      <c r="G424">
        <f t="shared" si="25"/>
        <v>0</v>
      </c>
      <c r="H424">
        <f t="shared" si="26"/>
        <v>0</v>
      </c>
      <c r="I424">
        <f t="shared" si="27"/>
        <v>0</v>
      </c>
      <c r="J424" t="s">
        <v>514</v>
      </c>
      <c r="K424" t="s">
        <v>511</v>
      </c>
      <c r="L424" t="s">
        <v>625</v>
      </c>
    </row>
    <row r="425" spans="1:13" hidden="1" x14ac:dyDescent="0.35">
      <c r="A425">
        <v>2004</v>
      </c>
      <c r="B425" t="s">
        <v>146</v>
      </c>
      <c r="C425" t="s">
        <v>516</v>
      </c>
      <c r="D425" t="s">
        <v>517</v>
      </c>
      <c r="E425" t="s">
        <v>513</v>
      </c>
      <c r="F425">
        <f t="shared" si="24"/>
        <v>0</v>
      </c>
      <c r="G425">
        <f t="shared" si="25"/>
        <v>0</v>
      </c>
      <c r="H425">
        <f t="shared" si="26"/>
        <v>1</v>
      </c>
      <c r="I425">
        <f t="shared" si="27"/>
        <v>0</v>
      </c>
      <c r="J425" t="s">
        <v>514</v>
      </c>
      <c r="K425" t="s">
        <v>511</v>
      </c>
      <c r="L425" t="s">
        <v>625</v>
      </c>
    </row>
    <row r="426" spans="1:13" hidden="1" x14ac:dyDescent="0.35">
      <c r="A426">
        <v>2003</v>
      </c>
      <c r="B426" t="s">
        <v>146</v>
      </c>
      <c r="C426" t="s">
        <v>516</v>
      </c>
      <c r="D426" t="s">
        <v>517</v>
      </c>
      <c r="E426" t="s">
        <v>465</v>
      </c>
      <c r="F426">
        <f t="shared" si="24"/>
        <v>0</v>
      </c>
      <c r="G426">
        <f t="shared" si="25"/>
        <v>0</v>
      </c>
      <c r="H426">
        <f t="shared" si="26"/>
        <v>0</v>
      </c>
      <c r="I426">
        <f t="shared" si="27"/>
        <v>0</v>
      </c>
      <c r="J426" t="s">
        <v>514</v>
      </c>
      <c r="K426" t="s">
        <v>511</v>
      </c>
      <c r="L426" t="s">
        <v>625</v>
      </c>
    </row>
    <row r="427" spans="1:13" hidden="1" x14ac:dyDescent="0.35">
      <c r="A427">
        <v>2002</v>
      </c>
      <c r="B427" t="s">
        <v>146</v>
      </c>
      <c r="C427" t="s">
        <v>516</v>
      </c>
      <c r="D427" t="s">
        <v>517</v>
      </c>
      <c r="E427" t="s">
        <v>465</v>
      </c>
      <c r="F427">
        <f t="shared" si="24"/>
        <v>0</v>
      </c>
      <c r="G427">
        <f t="shared" si="25"/>
        <v>0</v>
      </c>
      <c r="H427">
        <f t="shared" si="26"/>
        <v>0</v>
      </c>
      <c r="I427">
        <f t="shared" si="27"/>
        <v>0</v>
      </c>
      <c r="J427" t="s">
        <v>514</v>
      </c>
      <c r="K427" t="s">
        <v>511</v>
      </c>
      <c r="L427" t="s">
        <v>625</v>
      </c>
    </row>
    <row r="428" spans="1:13" hidden="1" x14ac:dyDescent="0.35">
      <c r="A428">
        <v>2001</v>
      </c>
      <c r="B428" t="s">
        <v>146</v>
      </c>
      <c r="C428" t="s">
        <v>516</v>
      </c>
      <c r="D428" t="s">
        <v>517</v>
      </c>
      <c r="E428" t="s">
        <v>465</v>
      </c>
      <c r="F428">
        <f t="shared" si="24"/>
        <v>1</v>
      </c>
      <c r="G428">
        <f t="shared" si="25"/>
        <v>1</v>
      </c>
      <c r="H428">
        <f t="shared" si="26"/>
        <v>1</v>
      </c>
      <c r="I428">
        <f t="shared" si="27"/>
        <v>0</v>
      </c>
      <c r="J428" t="s">
        <v>514</v>
      </c>
      <c r="K428" t="s">
        <v>511</v>
      </c>
      <c r="L428" t="s">
        <v>625</v>
      </c>
    </row>
    <row r="429" spans="1:13" hidden="1" x14ac:dyDescent="0.35">
      <c r="A429">
        <v>2000</v>
      </c>
      <c r="B429" t="s">
        <v>146</v>
      </c>
      <c r="C429" t="s">
        <v>513</v>
      </c>
      <c r="D429" t="s">
        <v>518</v>
      </c>
      <c r="E429" t="s">
        <v>479</v>
      </c>
      <c r="F429">
        <f t="shared" si="24"/>
        <v>0</v>
      </c>
      <c r="G429">
        <f t="shared" si="25"/>
        <v>0</v>
      </c>
      <c r="H429">
        <f t="shared" si="26"/>
        <v>0</v>
      </c>
      <c r="I429">
        <f t="shared" si="27"/>
        <v>0</v>
      </c>
      <c r="J429" t="s">
        <v>514</v>
      </c>
      <c r="K429" t="s">
        <v>511</v>
      </c>
      <c r="L429" t="s">
        <v>640</v>
      </c>
    </row>
    <row r="430" spans="1:13" hidden="1" x14ac:dyDescent="0.35">
      <c r="A430">
        <v>1999</v>
      </c>
      <c r="B430" t="s">
        <v>146</v>
      </c>
      <c r="C430" t="s">
        <v>513</v>
      </c>
      <c r="D430" t="s">
        <v>518</v>
      </c>
      <c r="E430" t="s">
        <v>479</v>
      </c>
      <c r="F430">
        <f t="shared" si="24"/>
        <v>1</v>
      </c>
      <c r="G430">
        <f t="shared" si="25"/>
        <v>1</v>
      </c>
      <c r="H430">
        <f t="shared" si="26"/>
        <v>1</v>
      </c>
      <c r="I430">
        <f t="shared" si="27"/>
        <v>1</v>
      </c>
      <c r="J430" t="s">
        <v>514</v>
      </c>
      <c r="K430" t="s">
        <v>511</v>
      </c>
      <c r="L430" t="s">
        <v>640</v>
      </c>
    </row>
    <row r="431" spans="1:13" x14ac:dyDescent="0.35">
      <c r="A431">
        <v>2025</v>
      </c>
      <c r="B431" t="s">
        <v>185</v>
      </c>
      <c r="C431" t="s">
        <v>212</v>
      </c>
      <c r="D431" t="s">
        <v>212</v>
      </c>
      <c r="E431" t="s">
        <v>675</v>
      </c>
      <c r="F431">
        <f t="shared" si="24"/>
        <v>0</v>
      </c>
      <c r="G431">
        <f t="shared" si="25"/>
        <v>0</v>
      </c>
      <c r="H431">
        <f t="shared" si="26"/>
        <v>0</v>
      </c>
      <c r="I431">
        <f t="shared" si="27"/>
        <v>0</v>
      </c>
      <c r="J431" t="s">
        <v>300</v>
      </c>
      <c r="K431" t="s">
        <v>519</v>
      </c>
      <c r="L431" t="s">
        <v>627</v>
      </c>
      <c r="M431" t="s">
        <v>667</v>
      </c>
    </row>
    <row r="432" spans="1:13" x14ac:dyDescent="0.35">
      <c r="A432">
        <v>2024</v>
      </c>
      <c r="B432" t="s">
        <v>185</v>
      </c>
      <c r="C432" t="s">
        <v>212</v>
      </c>
      <c r="D432" t="s">
        <v>212</v>
      </c>
      <c r="E432" t="s">
        <v>675</v>
      </c>
      <c r="F432">
        <f t="shared" si="24"/>
        <v>0</v>
      </c>
      <c r="G432">
        <f t="shared" si="25"/>
        <v>0</v>
      </c>
      <c r="H432">
        <f t="shared" si="26"/>
        <v>1</v>
      </c>
      <c r="I432">
        <f t="shared" si="27"/>
        <v>0</v>
      </c>
      <c r="J432" t="s">
        <v>300</v>
      </c>
      <c r="K432" t="s">
        <v>519</v>
      </c>
      <c r="L432" t="s">
        <v>627</v>
      </c>
      <c r="M432" t="s">
        <v>667</v>
      </c>
    </row>
    <row r="433" spans="1:13" x14ac:dyDescent="0.35">
      <c r="A433">
        <v>2023</v>
      </c>
      <c r="B433" t="s">
        <v>185</v>
      </c>
      <c r="C433" t="s">
        <v>212</v>
      </c>
      <c r="D433" t="s">
        <v>212</v>
      </c>
      <c r="E433" t="s">
        <v>242</v>
      </c>
      <c r="F433">
        <f t="shared" si="24"/>
        <v>0</v>
      </c>
      <c r="G433">
        <f t="shared" si="25"/>
        <v>0</v>
      </c>
      <c r="H433">
        <f t="shared" si="26"/>
        <v>0</v>
      </c>
      <c r="I433">
        <f t="shared" si="27"/>
        <v>0</v>
      </c>
      <c r="J433" t="s">
        <v>300</v>
      </c>
      <c r="K433" t="s">
        <v>519</v>
      </c>
      <c r="L433" t="s">
        <v>627</v>
      </c>
      <c r="M433" t="s">
        <v>667</v>
      </c>
    </row>
    <row r="434" spans="1:13" x14ac:dyDescent="0.35">
      <c r="A434">
        <v>2022</v>
      </c>
      <c r="B434" t="s">
        <v>185</v>
      </c>
      <c r="C434" t="s">
        <v>212</v>
      </c>
      <c r="D434" t="s">
        <v>212</v>
      </c>
      <c r="E434" t="s">
        <v>242</v>
      </c>
      <c r="F434">
        <f t="shared" si="24"/>
        <v>0</v>
      </c>
      <c r="G434">
        <f t="shared" si="25"/>
        <v>0</v>
      </c>
      <c r="H434">
        <f t="shared" si="26"/>
        <v>0</v>
      </c>
      <c r="I434">
        <f t="shared" si="27"/>
        <v>0</v>
      </c>
      <c r="J434" t="s">
        <v>300</v>
      </c>
      <c r="K434" t="s">
        <v>519</v>
      </c>
      <c r="L434" t="s">
        <v>627</v>
      </c>
      <c r="M434" t="s">
        <v>667</v>
      </c>
    </row>
    <row r="435" spans="1:13" x14ac:dyDescent="0.35">
      <c r="A435">
        <v>2021</v>
      </c>
      <c r="B435" t="s">
        <v>185</v>
      </c>
      <c r="C435" t="s">
        <v>212</v>
      </c>
      <c r="D435" t="s">
        <v>212</v>
      </c>
      <c r="E435" t="s">
        <v>242</v>
      </c>
      <c r="F435">
        <f t="shared" si="24"/>
        <v>0</v>
      </c>
      <c r="G435">
        <f t="shared" si="25"/>
        <v>0</v>
      </c>
      <c r="H435">
        <f t="shared" si="26"/>
        <v>1</v>
      </c>
      <c r="I435">
        <f t="shared" si="27"/>
        <v>0</v>
      </c>
      <c r="J435" t="s">
        <v>300</v>
      </c>
      <c r="K435" t="s">
        <v>519</v>
      </c>
      <c r="L435" t="s">
        <v>627</v>
      </c>
      <c r="M435" t="s">
        <v>667</v>
      </c>
    </row>
    <row r="436" spans="1:13" x14ac:dyDescent="0.35">
      <c r="A436">
        <v>2020</v>
      </c>
      <c r="B436" t="s">
        <v>185</v>
      </c>
      <c r="C436" t="s">
        <v>212</v>
      </c>
      <c r="D436" t="s">
        <v>212</v>
      </c>
      <c r="E436" t="s">
        <v>233</v>
      </c>
      <c r="F436">
        <f t="shared" si="24"/>
        <v>0</v>
      </c>
      <c r="G436">
        <f t="shared" si="25"/>
        <v>0</v>
      </c>
      <c r="H436">
        <f t="shared" si="26"/>
        <v>1</v>
      </c>
      <c r="I436">
        <f t="shared" si="27"/>
        <v>0</v>
      </c>
      <c r="J436" t="s">
        <v>300</v>
      </c>
      <c r="K436" t="s">
        <v>519</v>
      </c>
      <c r="L436" t="s">
        <v>627</v>
      </c>
      <c r="M436" t="s">
        <v>667</v>
      </c>
    </row>
    <row r="437" spans="1:13" x14ac:dyDescent="0.35">
      <c r="A437">
        <v>2019</v>
      </c>
      <c r="B437" t="s">
        <v>185</v>
      </c>
      <c r="C437" t="s">
        <v>212</v>
      </c>
      <c r="D437" t="s">
        <v>212</v>
      </c>
      <c r="E437" t="s">
        <v>96</v>
      </c>
      <c r="F437">
        <f t="shared" si="24"/>
        <v>0</v>
      </c>
      <c r="G437">
        <f t="shared" si="25"/>
        <v>0</v>
      </c>
      <c r="H437">
        <f t="shared" si="26"/>
        <v>0</v>
      </c>
      <c r="I437">
        <f t="shared" si="27"/>
        <v>0</v>
      </c>
      <c r="J437" t="s">
        <v>300</v>
      </c>
      <c r="K437" t="s">
        <v>519</v>
      </c>
      <c r="L437" t="s">
        <v>627</v>
      </c>
      <c r="M437" t="s">
        <v>667</v>
      </c>
    </row>
    <row r="438" spans="1:13" x14ac:dyDescent="0.35">
      <c r="A438">
        <v>2018</v>
      </c>
      <c r="B438" t="s">
        <v>185</v>
      </c>
      <c r="C438" t="s">
        <v>212</v>
      </c>
      <c r="D438" t="s">
        <v>212</v>
      </c>
      <c r="E438" t="s">
        <v>96</v>
      </c>
      <c r="F438">
        <f t="shared" si="24"/>
        <v>0</v>
      </c>
      <c r="G438">
        <f t="shared" si="25"/>
        <v>0</v>
      </c>
      <c r="H438">
        <f t="shared" si="26"/>
        <v>0</v>
      </c>
      <c r="I438">
        <f t="shared" si="27"/>
        <v>0</v>
      </c>
      <c r="J438" t="s">
        <v>300</v>
      </c>
      <c r="K438" t="s">
        <v>519</v>
      </c>
      <c r="L438" t="s">
        <v>627</v>
      </c>
      <c r="M438" t="s">
        <v>667</v>
      </c>
    </row>
    <row r="439" spans="1:13" x14ac:dyDescent="0.35">
      <c r="A439">
        <v>2017</v>
      </c>
      <c r="B439" t="s">
        <v>185</v>
      </c>
      <c r="C439" t="s">
        <v>212</v>
      </c>
      <c r="D439" t="s">
        <v>212</v>
      </c>
      <c r="E439" t="s">
        <v>96</v>
      </c>
      <c r="F439">
        <f t="shared" si="24"/>
        <v>1</v>
      </c>
      <c r="G439">
        <f t="shared" si="25"/>
        <v>1</v>
      </c>
      <c r="H439">
        <f t="shared" si="26"/>
        <v>1</v>
      </c>
      <c r="I439">
        <f t="shared" si="27"/>
        <v>0</v>
      </c>
      <c r="J439" t="s">
        <v>300</v>
      </c>
      <c r="K439" t="s">
        <v>519</v>
      </c>
      <c r="L439" t="s">
        <v>627</v>
      </c>
      <c r="M439" t="s">
        <v>667</v>
      </c>
    </row>
    <row r="440" spans="1:13" x14ac:dyDescent="0.35">
      <c r="A440">
        <v>2016</v>
      </c>
      <c r="B440" t="s">
        <v>185</v>
      </c>
      <c r="C440" t="s">
        <v>70</v>
      </c>
      <c r="D440" t="s">
        <v>234</v>
      </c>
      <c r="E440" t="s">
        <v>50</v>
      </c>
      <c r="F440">
        <f t="shared" si="24"/>
        <v>0</v>
      </c>
      <c r="G440">
        <f t="shared" si="25"/>
        <v>1</v>
      </c>
      <c r="H440">
        <f t="shared" si="26"/>
        <v>0</v>
      </c>
      <c r="I440">
        <f t="shared" si="27"/>
        <v>0</v>
      </c>
      <c r="J440" t="s">
        <v>300</v>
      </c>
      <c r="K440" t="s">
        <v>519</v>
      </c>
      <c r="L440" t="s">
        <v>626</v>
      </c>
      <c r="M440" t="s">
        <v>669</v>
      </c>
    </row>
    <row r="441" spans="1:13" x14ac:dyDescent="0.35">
      <c r="A441">
        <v>2015</v>
      </c>
      <c r="B441" t="s">
        <v>185</v>
      </c>
      <c r="C441" t="s">
        <v>70</v>
      </c>
      <c r="D441" t="s">
        <v>235</v>
      </c>
      <c r="E441" t="s">
        <v>50</v>
      </c>
      <c r="F441">
        <f t="shared" si="24"/>
        <v>0</v>
      </c>
      <c r="G441">
        <f t="shared" si="25"/>
        <v>1</v>
      </c>
      <c r="H441">
        <f t="shared" si="26"/>
        <v>0</v>
      </c>
      <c r="I441">
        <f t="shared" si="27"/>
        <v>0</v>
      </c>
      <c r="J441" t="s">
        <v>300</v>
      </c>
      <c r="K441" t="s">
        <v>519</v>
      </c>
      <c r="L441" t="s">
        <v>631</v>
      </c>
      <c r="M441" t="s">
        <v>669</v>
      </c>
    </row>
    <row r="442" spans="1:13" x14ac:dyDescent="0.35">
      <c r="A442">
        <v>2014</v>
      </c>
      <c r="B442" t="s">
        <v>185</v>
      </c>
      <c r="C442" t="s">
        <v>70</v>
      </c>
      <c r="D442" t="s">
        <v>56</v>
      </c>
      <c r="E442" t="s">
        <v>50</v>
      </c>
      <c r="F442">
        <f t="shared" si="24"/>
        <v>0</v>
      </c>
      <c r="G442">
        <f t="shared" si="25"/>
        <v>0</v>
      </c>
      <c r="H442">
        <f t="shared" si="26"/>
        <v>1</v>
      </c>
      <c r="I442">
        <f t="shared" si="27"/>
        <v>0</v>
      </c>
      <c r="J442" t="s">
        <v>300</v>
      </c>
      <c r="K442" t="s">
        <v>519</v>
      </c>
      <c r="L442" t="s">
        <v>626</v>
      </c>
      <c r="M442" t="s">
        <v>669</v>
      </c>
    </row>
    <row r="443" spans="1:13" x14ac:dyDescent="0.35">
      <c r="A443">
        <v>2013</v>
      </c>
      <c r="B443" t="s">
        <v>185</v>
      </c>
      <c r="C443" t="s">
        <v>70</v>
      </c>
      <c r="D443" t="s">
        <v>56</v>
      </c>
      <c r="E443" t="s">
        <v>236</v>
      </c>
      <c r="F443">
        <f t="shared" si="24"/>
        <v>0</v>
      </c>
      <c r="G443">
        <f t="shared" si="25"/>
        <v>0</v>
      </c>
      <c r="H443">
        <f t="shared" si="26"/>
        <v>1</v>
      </c>
      <c r="I443">
        <f t="shared" si="27"/>
        <v>0</v>
      </c>
      <c r="J443" t="s">
        <v>300</v>
      </c>
      <c r="K443" t="s">
        <v>519</v>
      </c>
      <c r="L443" t="s">
        <v>626</v>
      </c>
      <c r="M443" t="s">
        <v>671</v>
      </c>
    </row>
    <row r="444" spans="1:13" x14ac:dyDescent="0.35">
      <c r="A444">
        <v>2012</v>
      </c>
      <c r="B444" t="s">
        <v>185</v>
      </c>
      <c r="C444" t="s">
        <v>70</v>
      </c>
      <c r="D444" t="s">
        <v>56</v>
      </c>
      <c r="E444" t="s">
        <v>70</v>
      </c>
      <c r="F444">
        <f t="shared" si="24"/>
        <v>1</v>
      </c>
      <c r="G444">
        <f t="shared" si="25"/>
        <v>1</v>
      </c>
      <c r="H444">
        <f t="shared" si="26"/>
        <v>1</v>
      </c>
      <c r="I444">
        <f t="shared" si="27"/>
        <v>1</v>
      </c>
      <c r="J444" t="s">
        <v>300</v>
      </c>
      <c r="K444" t="s">
        <v>519</v>
      </c>
      <c r="L444" t="s">
        <v>626</v>
      </c>
      <c r="M444" t="s">
        <v>671</v>
      </c>
    </row>
    <row r="445" spans="1:13" x14ac:dyDescent="0.35">
      <c r="A445">
        <v>2011</v>
      </c>
      <c r="B445" t="s">
        <v>185</v>
      </c>
      <c r="C445" t="s">
        <v>149</v>
      </c>
      <c r="D445" t="s">
        <v>24</v>
      </c>
      <c r="E445" t="s">
        <v>149</v>
      </c>
      <c r="F445">
        <f t="shared" si="24"/>
        <v>0</v>
      </c>
      <c r="G445">
        <f t="shared" si="25"/>
        <v>1</v>
      </c>
      <c r="H445">
        <f t="shared" si="26"/>
        <v>0</v>
      </c>
      <c r="I445">
        <f t="shared" si="27"/>
        <v>0</v>
      </c>
      <c r="J445" t="s">
        <v>301</v>
      </c>
      <c r="K445" t="s">
        <v>519</v>
      </c>
      <c r="L445" t="s">
        <v>629</v>
      </c>
      <c r="M445" t="s">
        <v>674</v>
      </c>
    </row>
    <row r="446" spans="1:13" hidden="1" x14ac:dyDescent="0.35">
      <c r="A446">
        <v>2010</v>
      </c>
      <c r="B446" t="s">
        <v>185</v>
      </c>
      <c r="C446" t="s">
        <v>149</v>
      </c>
      <c r="D446" t="s">
        <v>115</v>
      </c>
      <c r="E446" t="s">
        <v>149</v>
      </c>
      <c r="F446">
        <f t="shared" si="24"/>
        <v>0</v>
      </c>
      <c r="G446">
        <f t="shared" si="25"/>
        <v>0</v>
      </c>
      <c r="H446">
        <f t="shared" si="26"/>
        <v>0</v>
      </c>
      <c r="I446">
        <f t="shared" si="27"/>
        <v>0</v>
      </c>
      <c r="J446" t="s">
        <v>301</v>
      </c>
      <c r="K446" t="s">
        <v>519</v>
      </c>
      <c r="L446" t="s">
        <v>631</v>
      </c>
      <c r="M446" t="s">
        <v>674</v>
      </c>
    </row>
    <row r="447" spans="1:13" hidden="1" x14ac:dyDescent="0.35">
      <c r="A447">
        <v>2009</v>
      </c>
      <c r="B447" t="s">
        <v>185</v>
      </c>
      <c r="C447" t="s">
        <v>149</v>
      </c>
      <c r="D447" t="s">
        <v>115</v>
      </c>
      <c r="E447" t="s">
        <v>149</v>
      </c>
      <c r="F447">
        <f t="shared" si="24"/>
        <v>1</v>
      </c>
      <c r="G447">
        <f t="shared" si="25"/>
        <v>1</v>
      </c>
      <c r="H447">
        <f t="shared" si="26"/>
        <v>1</v>
      </c>
      <c r="I447">
        <f t="shared" si="27"/>
        <v>1</v>
      </c>
      <c r="J447" t="s">
        <v>301</v>
      </c>
      <c r="K447" t="s">
        <v>521</v>
      </c>
    </row>
    <row r="448" spans="1:13" hidden="1" x14ac:dyDescent="0.35">
      <c r="A448">
        <v>2008</v>
      </c>
      <c r="B448" t="s">
        <v>185</v>
      </c>
      <c r="C448" t="s">
        <v>215</v>
      </c>
      <c r="D448" t="s">
        <v>517</v>
      </c>
      <c r="E448" t="s">
        <v>215</v>
      </c>
      <c r="F448">
        <f t="shared" si="24"/>
        <v>1</v>
      </c>
      <c r="G448">
        <f t="shared" si="25"/>
        <v>1</v>
      </c>
      <c r="H448">
        <f t="shared" si="26"/>
        <v>0</v>
      </c>
      <c r="I448">
        <f t="shared" si="27"/>
        <v>0</v>
      </c>
      <c r="J448" t="s">
        <v>522</v>
      </c>
      <c r="K448" t="s">
        <v>521</v>
      </c>
      <c r="L448" t="s">
        <v>625</v>
      </c>
    </row>
    <row r="449" spans="1:13" hidden="1" x14ac:dyDescent="0.35">
      <c r="A449">
        <v>2007</v>
      </c>
      <c r="B449" t="s">
        <v>185</v>
      </c>
      <c r="C449" t="s">
        <v>197</v>
      </c>
      <c r="D449" t="s">
        <v>85</v>
      </c>
      <c r="E449" t="s">
        <v>215</v>
      </c>
      <c r="F449">
        <f t="shared" si="24"/>
        <v>0</v>
      </c>
      <c r="G449">
        <f t="shared" si="25"/>
        <v>0</v>
      </c>
      <c r="H449">
        <f t="shared" si="26"/>
        <v>0</v>
      </c>
      <c r="I449">
        <f t="shared" si="27"/>
        <v>0</v>
      </c>
      <c r="J449" t="s">
        <v>522</v>
      </c>
      <c r="K449" t="s">
        <v>520</v>
      </c>
      <c r="L449" t="s">
        <v>638</v>
      </c>
    </row>
    <row r="450" spans="1:13" hidden="1" x14ac:dyDescent="0.35">
      <c r="A450">
        <v>2006</v>
      </c>
      <c r="B450" t="s">
        <v>185</v>
      </c>
      <c r="C450" t="s">
        <v>197</v>
      </c>
      <c r="D450" t="s">
        <v>85</v>
      </c>
      <c r="E450" t="s">
        <v>215</v>
      </c>
      <c r="F450">
        <f t="shared" ref="F450:F513" si="28">IF(C450=C451,0,1)</f>
        <v>1</v>
      </c>
      <c r="G450">
        <f t="shared" ref="G450:G513" si="29">IF(D450=D451,0,1)</f>
        <v>1</v>
      </c>
      <c r="H450">
        <f t="shared" ref="H450:H513" si="30">IF(E450=E451,0,1)</f>
        <v>1</v>
      </c>
      <c r="I450">
        <f t="shared" ref="I450:I513" si="31">IF(J450=J451,0,1)</f>
        <v>0</v>
      </c>
      <c r="J450" t="s">
        <v>522</v>
      </c>
      <c r="K450" t="s">
        <v>520</v>
      </c>
      <c r="L450" t="s">
        <v>638</v>
      </c>
    </row>
    <row r="451" spans="1:13" hidden="1" x14ac:dyDescent="0.35">
      <c r="A451">
        <v>2005</v>
      </c>
      <c r="B451" t="s">
        <v>185</v>
      </c>
      <c r="C451" t="s">
        <v>221</v>
      </c>
      <c r="D451" t="s">
        <v>221</v>
      </c>
      <c r="E451" t="s">
        <v>388</v>
      </c>
      <c r="F451">
        <f t="shared" si="28"/>
        <v>0</v>
      </c>
      <c r="G451">
        <f t="shared" si="29"/>
        <v>0</v>
      </c>
      <c r="H451">
        <f t="shared" si="30"/>
        <v>0</v>
      </c>
      <c r="I451">
        <f t="shared" si="31"/>
        <v>0</v>
      </c>
      <c r="J451" t="s">
        <v>522</v>
      </c>
      <c r="K451" t="s">
        <v>520</v>
      </c>
      <c r="L451" t="s">
        <v>221</v>
      </c>
    </row>
    <row r="452" spans="1:13" hidden="1" x14ac:dyDescent="0.35">
      <c r="A452">
        <v>2004</v>
      </c>
      <c r="B452" t="s">
        <v>185</v>
      </c>
      <c r="C452" t="s">
        <v>221</v>
      </c>
      <c r="D452" t="s">
        <v>221</v>
      </c>
      <c r="E452" t="s">
        <v>388</v>
      </c>
      <c r="F452">
        <f t="shared" si="28"/>
        <v>0</v>
      </c>
      <c r="G452">
        <f t="shared" si="29"/>
        <v>0</v>
      </c>
      <c r="H452">
        <f t="shared" si="30"/>
        <v>1</v>
      </c>
      <c r="I452">
        <f t="shared" si="31"/>
        <v>0</v>
      </c>
      <c r="J452" t="s">
        <v>522</v>
      </c>
      <c r="K452" t="s">
        <v>520</v>
      </c>
      <c r="L452" t="s">
        <v>221</v>
      </c>
    </row>
    <row r="453" spans="1:13" hidden="1" x14ac:dyDescent="0.35">
      <c r="A453">
        <v>2003</v>
      </c>
      <c r="B453" t="s">
        <v>185</v>
      </c>
      <c r="C453" t="s">
        <v>221</v>
      </c>
      <c r="D453" t="s">
        <v>221</v>
      </c>
      <c r="E453" t="s">
        <v>218</v>
      </c>
      <c r="F453">
        <f t="shared" si="28"/>
        <v>0</v>
      </c>
      <c r="G453">
        <f t="shared" si="29"/>
        <v>0</v>
      </c>
      <c r="H453">
        <f t="shared" si="30"/>
        <v>0</v>
      </c>
      <c r="I453">
        <f t="shared" si="31"/>
        <v>0</v>
      </c>
      <c r="J453" t="s">
        <v>522</v>
      </c>
      <c r="K453" t="s">
        <v>520</v>
      </c>
      <c r="L453" t="s">
        <v>221</v>
      </c>
    </row>
    <row r="454" spans="1:13" hidden="1" x14ac:dyDescent="0.35">
      <c r="A454">
        <v>2002</v>
      </c>
      <c r="B454" t="s">
        <v>185</v>
      </c>
      <c r="C454" t="s">
        <v>221</v>
      </c>
      <c r="D454" t="s">
        <v>221</v>
      </c>
      <c r="E454" t="s">
        <v>218</v>
      </c>
      <c r="F454">
        <f t="shared" si="28"/>
        <v>0</v>
      </c>
      <c r="G454">
        <f t="shared" si="29"/>
        <v>0</v>
      </c>
      <c r="H454">
        <f t="shared" si="30"/>
        <v>0</v>
      </c>
      <c r="I454">
        <f t="shared" si="31"/>
        <v>0</v>
      </c>
      <c r="J454" t="s">
        <v>522</v>
      </c>
      <c r="K454" t="s">
        <v>520</v>
      </c>
      <c r="L454" t="s">
        <v>221</v>
      </c>
    </row>
    <row r="455" spans="1:13" hidden="1" x14ac:dyDescent="0.35">
      <c r="A455">
        <v>2001</v>
      </c>
      <c r="B455" t="s">
        <v>185</v>
      </c>
      <c r="C455" t="s">
        <v>221</v>
      </c>
      <c r="D455" t="s">
        <v>221</v>
      </c>
      <c r="E455" t="s">
        <v>218</v>
      </c>
      <c r="F455">
        <f t="shared" si="28"/>
        <v>0</v>
      </c>
      <c r="G455">
        <f t="shared" si="29"/>
        <v>0</v>
      </c>
      <c r="H455">
        <f t="shared" si="30"/>
        <v>1</v>
      </c>
      <c r="I455">
        <f t="shared" si="31"/>
        <v>0</v>
      </c>
      <c r="J455" t="s">
        <v>522</v>
      </c>
      <c r="K455" t="s">
        <v>520</v>
      </c>
      <c r="L455" t="s">
        <v>221</v>
      </c>
    </row>
    <row r="456" spans="1:13" hidden="1" x14ac:dyDescent="0.35">
      <c r="A456">
        <v>2000</v>
      </c>
      <c r="B456" t="s">
        <v>185</v>
      </c>
      <c r="C456" t="s">
        <v>221</v>
      </c>
      <c r="D456" t="s">
        <v>221</v>
      </c>
      <c r="E456" t="s">
        <v>523</v>
      </c>
      <c r="F456">
        <f t="shared" si="28"/>
        <v>1</v>
      </c>
      <c r="G456">
        <f t="shared" si="29"/>
        <v>0</v>
      </c>
      <c r="H456">
        <f t="shared" si="30"/>
        <v>0</v>
      </c>
      <c r="I456">
        <f t="shared" si="31"/>
        <v>1</v>
      </c>
      <c r="J456" t="s">
        <v>522</v>
      </c>
      <c r="K456" t="s">
        <v>520</v>
      </c>
      <c r="L456" t="s">
        <v>221</v>
      </c>
    </row>
    <row r="457" spans="1:13" hidden="1" x14ac:dyDescent="0.35">
      <c r="A457">
        <v>1999</v>
      </c>
      <c r="B457" t="s">
        <v>185</v>
      </c>
      <c r="C457" t="s">
        <v>516</v>
      </c>
      <c r="D457" t="s">
        <v>221</v>
      </c>
      <c r="E457" t="s">
        <v>523</v>
      </c>
      <c r="F457">
        <f t="shared" si="28"/>
        <v>1</v>
      </c>
      <c r="G457">
        <f t="shared" si="29"/>
        <v>1</v>
      </c>
      <c r="H457">
        <f t="shared" si="30"/>
        <v>1</v>
      </c>
      <c r="I457">
        <f t="shared" si="31"/>
        <v>1</v>
      </c>
      <c r="J457" t="s">
        <v>516</v>
      </c>
      <c r="K457" t="s">
        <v>520</v>
      </c>
      <c r="L457" t="s">
        <v>221</v>
      </c>
    </row>
    <row r="458" spans="1:13" x14ac:dyDescent="0.35">
      <c r="A458">
        <v>2025</v>
      </c>
      <c r="B458" t="s">
        <v>29</v>
      </c>
      <c r="C458" t="s">
        <v>230</v>
      </c>
      <c r="D458" t="s">
        <v>13</v>
      </c>
      <c r="E458" t="s">
        <v>676</v>
      </c>
      <c r="F458">
        <f t="shared" si="28"/>
        <v>0</v>
      </c>
      <c r="G458">
        <f t="shared" si="29"/>
        <v>0</v>
      </c>
      <c r="H458">
        <f t="shared" si="30"/>
        <v>0</v>
      </c>
      <c r="I458">
        <f t="shared" si="31"/>
        <v>0</v>
      </c>
      <c r="J458" t="s">
        <v>683</v>
      </c>
      <c r="K458" t="s">
        <v>524</v>
      </c>
      <c r="L458" t="s">
        <v>639</v>
      </c>
      <c r="M458" t="s">
        <v>669</v>
      </c>
    </row>
    <row r="459" spans="1:13" x14ac:dyDescent="0.35">
      <c r="A459">
        <v>2024</v>
      </c>
      <c r="B459" t="s">
        <v>29</v>
      </c>
      <c r="C459" t="s">
        <v>230</v>
      </c>
      <c r="D459" t="s">
        <v>13</v>
      </c>
      <c r="E459" t="s">
        <v>676</v>
      </c>
      <c r="F459">
        <f t="shared" si="28"/>
        <v>1</v>
      </c>
      <c r="G459">
        <f t="shared" si="29"/>
        <v>1</v>
      </c>
      <c r="H459">
        <f t="shared" si="30"/>
        <v>1</v>
      </c>
      <c r="I459">
        <f t="shared" si="31"/>
        <v>1</v>
      </c>
      <c r="J459" t="s">
        <v>683</v>
      </c>
      <c r="K459" t="s">
        <v>524</v>
      </c>
      <c r="L459" t="s">
        <v>639</v>
      </c>
      <c r="M459" t="s">
        <v>669</v>
      </c>
    </row>
    <row r="460" spans="1:13" x14ac:dyDescent="0.35">
      <c r="A460">
        <v>2023</v>
      </c>
      <c r="B460" t="s">
        <v>29</v>
      </c>
      <c r="C460" t="s">
        <v>233</v>
      </c>
      <c r="D460" t="s">
        <v>195</v>
      </c>
      <c r="E460" t="s">
        <v>233</v>
      </c>
      <c r="F460">
        <f t="shared" si="28"/>
        <v>0</v>
      </c>
      <c r="G460">
        <f t="shared" si="29"/>
        <v>1</v>
      </c>
      <c r="H460">
        <f t="shared" si="30"/>
        <v>0</v>
      </c>
      <c r="I460">
        <f t="shared" si="31"/>
        <v>0</v>
      </c>
      <c r="J460" t="s">
        <v>281</v>
      </c>
      <c r="K460" t="s">
        <v>524</v>
      </c>
      <c r="L460" t="s">
        <v>623</v>
      </c>
      <c r="M460" t="s">
        <v>667</v>
      </c>
    </row>
    <row r="461" spans="1:13" x14ac:dyDescent="0.35">
      <c r="A461">
        <v>2022</v>
      </c>
      <c r="B461" t="s">
        <v>29</v>
      </c>
      <c r="C461" t="s">
        <v>233</v>
      </c>
      <c r="D461" t="s">
        <v>223</v>
      </c>
      <c r="E461" t="s">
        <v>233</v>
      </c>
      <c r="F461">
        <f t="shared" si="28"/>
        <v>0</v>
      </c>
      <c r="G461">
        <f t="shared" si="29"/>
        <v>0</v>
      </c>
      <c r="H461">
        <f t="shared" si="30"/>
        <v>0</v>
      </c>
      <c r="I461">
        <f t="shared" si="31"/>
        <v>0</v>
      </c>
      <c r="J461" t="s">
        <v>281</v>
      </c>
      <c r="K461" t="s">
        <v>524</v>
      </c>
      <c r="L461" t="s">
        <v>623</v>
      </c>
      <c r="M461" t="s">
        <v>667</v>
      </c>
    </row>
    <row r="462" spans="1:13" x14ac:dyDescent="0.35">
      <c r="A462">
        <v>2021</v>
      </c>
      <c r="B462" t="s">
        <v>29</v>
      </c>
      <c r="C462" t="s">
        <v>233</v>
      </c>
      <c r="D462" t="s">
        <v>223</v>
      </c>
      <c r="E462" t="s">
        <v>233</v>
      </c>
      <c r="F462">
        <f t="shared" si="28"/>
        <v>1</v>
      </c>
      <c r="G462">
        <f t="shared" si="29"/>
        <v>1</v>
      </c>
      <c r="H462">
        <f t="shared" si="30"/>
        <v>1</v>
      </c>
      <c r="I462">
        <f t="shared" si="31"/>
        <v>0</v>
      </c>
      <c r="J462" t="s">
        <v>281</v>
      </c>
      <c r="K462" t="s">
        <v>524</v>
      </c>
      <c r="L462" t="s">
        <v>623</v>
      </c>
      <c r="M462" t="s">
        <v>667</v>
      </c>
    </row>
    <row r="463" spans="1:13" x14ac:dyDescent="0.35">
      <c r="A463">
        <v>2020</v>
      </c>
      <c r="B463" t="s">
        <v>29</v>
      </c>
      <c r="C463" t="s">
        <v>171</v>
      </c>
      <c r="D463" t="s">
        <v>172</v>
      </c>
      <c r="E463" t="s">
        <v>84</v>
      </c>
      <c r="F463">
        <f t="shared" si="28"/>
        <v>0</v>
      </c>
      <c r="G463">
        <f t="shared" si="29"/>
        <v>1</v>
      </c>
      <c r="H463">
        <f t="shared" si="30"/>
        <v>0</v>
      </c>
      <c r="I463">
        <f t="shared" si="31"/>
        <v>0</v>
      </c>
      <c r="J463" t="s">
        <v>281</v>
      </c>
      <c r="K463" t="s">
        <v>524</v>
      </c>
      <c r="L463" t="s">
        <v>626</v>
      </c>
      <c r="M463" t="s">
        <v>673</v>
      </c>
    </row>
    <row r="464" spans="1:13" x14ac:dyDescent="0.35">
      <c r="A464">
        <v>2019</v>
      </c>
      <c r="B464" t="s">
        <v>29</v>
      </c>
      <c r="C464" t="s">
        <v>171</v>
      </c>
      <c r="D464" t="s">
        <v>64</v>
      </c>
      <c r="E464" t="s">
        <v>84</v>
      </c>
      <c r="F464">
        <f t="shared" si="28"/>
        <v>0</v>
      </c>
      <c r="G464">
        <f t="shared" si="29"/>
        <v>0</v>
      </c>
      <c r="H464">
        <f t="shared" si="30"/>
        <v>0</v>
      </c>
      <c r="I464">
        <f t="shared" si="31"/>
        <v>0</v>
      </c>
      <c r="J464" t="s">
        <v>281</v>
      </c>
      <c r="K464" t="s">
        <v>524</v>
      </c>
      <c r="L464" t="s">
        <v>626</v>
      </c>
      <c r="M464" t="s">
        <v>673</v>
      </c>
    </row>
    <row r="465" spans="1:13" x14ac:dyDescent="0.35">
      <c r="A465">
        <v>2018</v>
      </c>
      <c r="B465" t="s">
        <v>29</v>
      </c>
      <c r="C465" t="s">
        <v>171</v>
      </c>
      <c r="D465" t="s">
        <v>64</v>
      </c>
      <c r="E465" t="s">
        <v>84</v>
      </c>
      <c r="F465">
        <f t="shared" si="28"/>
        <v>0</v>
      </c>
      <c r="G465">
        <f t="shared" si="29"/>
        <v>0</v>
      </c>
      <c r="H465">
        <f t="shared" si="30"/>
        <v>0</v>
      </c>
      <c r="I465">
        <f t="shared" si="31"/>
        <v>0</v>
      </c>
      <c r="J465" t="s">
        <v>281</v>
      </c>
      <c r="K465" t="s">
        <v>524</v>
      </c>
      <c r="L465" t="s">
        <v>626</v>
      </c>
      <c r="M465" t="s">
        <v>673</v>
      </c>
    </row>
    <row r="466" spans="1:13" x14ac:dyDescent="0.35">
      <c r="A466">
        <v>2017</v>
      </c>
      <c r="B466" t="s">
        <v>29</v>
      </c>
      <c r="C466" t="s">
        <v>171</v>
      </c>
      <c r="D466" t="s">
        <v>64</v>
      </c>
      <c r="E466" t="s">
        <v>84</v>
      </c>
      <c r="F466">
        <f t="shared" si="28"/>
        <v>1</v>
      </c>
      <c r="G466">
        <f t="shared" si="29"/>
        <v>0</v>
      </c>
      <c r="H466">
        <f t="shared" si="30"/>
        <v>1</v>
      </c>
      <c r="I466">
        <f t="shared" si="31"/>
        <v>0</v>
      </c>
      <c r="J466" t="s">
        <v>281</v>
      </c>
      <c r="K466" t="s">
        <v>525</v>
      </c>
      <c r="L466" t="s">
        <v>626</v>
      </c>
      <c r="M466" t="s">
        <v>673</v>
      </c>
    </row>
    <row r="467" spans="1:13" x14ac:dyDescent="0.35">
      <c r="A467">
        <v>2016</v>
      </c>
      <c r="B467" t="s">
        <v>29</v>
      </c>
      <c r="C467" t="s">
        <v>170</v>
      </c>
      <c r="D467" t="s">
        <v>64</v>
      </c>
      <c r="E467" t="s">
        <v>175</v>
      </c>
      <c r="F467">
        <f t="shared" si="28"/>
        <v>0</v>
      </c>
      <c r="G467">
        <f t="shared" si="29"/>
        <v>1</v>
      </c>
      <c r="H467">
        <f t="shared" si="30"/>
        <v>0</v>
      </c>
      <c r="I467">
        <f t="shared" si="31"/>
        <v>0</v>
      </c>
      <c r="J467" t="s">
        <v>281</v>
      </c>
      <c r="K467" t="s">
        <v>525</v>
      </c>
      <c r="L467" t="s">
        <v>623</v>
      </c>
      <c r="M467" t="s">
        <v>673</v>
      </c>
    </row>
    <row r="468" spans="1:13" x14ac:dyDescent="0.35">
      <c r="A468">
        <v>2015</v>
      </c>
      <c r="B468" t="s">
        <v>29</v>
      </c>
      <c r="C468" t="s">
        <v>170</v>
      </c>
      <c r="D468" t="s">
        <v>73</v>
      </c>
      <c r="E468" t="s">
        <v>175</v>
      </c>
      <c r="F468">
        <f t="shared" si="28"/>
        <v>0</v>
      </c>
      <c r="G468">
        <f t="shared" si="29"/>
        <v>0</v>
      </c>
      <c r="H468">
        <f t="shared" si="30"/>
        <v>0</v>
      </c>
      <c r="I468">
        <f t="shared" si="31"/>
        <v>0</v>
      </c>
      <c r="J468" t="s">
        <v>281</v>
      </c>
      <c r="K468" t="s">
        <v>525</v>
      </c>
      <c r="L468" t="s">
        <v>631</v>
      </c>
      <c r="M468" t="s">
        <v>673</v>
      </c>
    </row>
    <row r="469" spans="1:13" x14ac:dyDescent="0.35">
      <c r="A469">
        <v>2014</v>
      </c>
      <c r="B469" t="s">
        <v>29</v>
      </c>
      <c r="C469" t="s">
        <v>170</v>
      </c>
      <c r="D469" t="s">
        <v>73</v>
      </c>
      <c r="E469" t="s">
        <v>175</v>
      </c>
      <c r="F469">
        <f t="shared" si="28"/>
        <v>0</v>
      </c>
      <c r="G469">
        <f t="shared" si="29"/>
        <v>1</v>
      </c>
      <c r="H469">
        <f t="shared" si="30"/>
        <v>0</v>
      </c>
      <c r="I469">
        <f t="shared" si="31"/>
        <v>0</v>
      </c>
      <c r="J469" t="s">
        <v>281</v>
      </c>
      <c r="K469" t="s">
        <v>525</v>
      </c>
      <c r="L469" t="s">
        <v>631</v>
      </c>
      <c r="M469" t="s">
        <v>673</v>
      </c>
    </row>
    <row r="470" spans="1:13" x14ac:dyDescent="0.35">
      <c r="A470">
        <v>2013</v>
      </c>
      <c r="B470" t="s">
        <v>29</v>
      </c>
      <c r="C470" t="s">
        <v>170</v>
      </c>
      <c r="D470" t="s">
        <v>64</v>
      </c>
      <c r="E470" t="s">
        <v>175</v>
      </c>
      <c r="F470">
        <f t="shared" si="28"/>
        <v>1</v>
      </c>
      <c r="G470">
        <f t="shared" si="29"/>
        <v>1</v>
      </c>
      <c r="H470">
        <f t="shared" si="30"/>
        <v>0</v>
      </c>
      <c r="I470">
        <f t="shared" si="31"/>
        <v>1</v>
      </c>
      <c r="J470" t="s">
        <v>281</v>
      </c>
      <c r="K470" t="s">
        <v>525</v>
      </c>
      <c r="L470" t="s">
        <v>623</v>
      </c>
      <c r="M470" t="s">
        <v>673</v>
      </c>
    </row>
    <row r="471" spans="1:13" x14ac:dyDescent="0.35">
      <c r="A471">
        <v>2012</v>
      </c>
      <c r="B471" t="s">
        <v>29</v>
      </c>
      <c r="C471" t="s">
        <v>112</v>
      </c>
      <c r="D471" t="s">
        <v>173</v>
      </c>
      <c r="E471" t="s">
        <v>175</v>
      </c>
      <c r="F471">
        <f t="shared" si="28"/>
        <v>0</v>
      </c>
      <c r="G471">
        <f t="shared" si="29"/>
        <v>1</v>
      </c>
      <c r="H471">
        <f t="shared" si="30"/>
        <v>1</v>
      </c>
      <c r="I471">
        <f t="shared" si="31"/>
        <v>0</v>
      </c>
      <c r="J471" t="s">
        <v>282</v>
      </c>
      <c r="K471" t="s">
        <v>525</v>
      </c>
      <c r="L471" t="s">
        <v>623</v>
      </c>
      <c r="M471" t="s">
        <v>673</v>
      </c>
    </row>
    <row r="472" spans="1:13" x14ac:dyDescent="0.35">
      <c r="A472">
        <v>2011</v>
      </c>
      <c r="B472" t="s">
        <v>29</v>
      </c>
      <c r="C472" t="s">
        <v>112</v>
      </c>
      <c r="D472" t="s">
        <v>174</v>
      </c>
      <c r="E472" t="s">
        <v>76</v>
      </c>
      <c r="F472">
        <f t="shared" si="28"/>
        <v>0</v>
      </c>
      <c r="G472">
        <f t="shared" si="29"/>
        <v>0</v>
      </c>
      <c r="H472">
        <f t="shared" si="30"/>
        <v>1</v>
      </c>
      <c r="I472">
        <f t="shared" si="31"/>
        <v>0</v>
      </c>
      <c r="J472" t="s">
        <v>282</v>
      </c>
      <c r="K472" t="s">
        <v>525</v>
      </c>
      <c r="L472" t="s">
        <v>623</v>
      </c>
      <c r="M472" t="s">
        <v>670</v>
      </c>
    </row>
    <row r="473" spans="1:13" hidden="1" x14ac:dyDescent="0.35">
      <c r="A473">
        <v>2010</v>
      </c>
      <c r="B473" t="s">
        <v>29</v>
      </c>
      <c r="C473" t="s">
        <v>112</v>
      </c>
      <c r="D473" t="s">
        <v>174</v>
      </c>
      <c r="E473" t="s">
        <v>176</v>
      </c>
      <c r="F473">
        <f t="shared" si="28"/>
        <v>0</v>
      </c>
      <c r="G473">
        <f t="shared" si="29"/>
        <v>0</v>
      </c>
      <c r="H473">
        <f t="shared" si="30"/>
        <v>0</v>
      </c>
      <c r="I473">
        <f t="shared" si="31"/>
        <v>0</v>
      </c>
      <c r="J473" t="s">
        <v>282</v>
      </c>
      <c r="K473" t="s">
        <v>525</v>
      </c>
      <c r="L473" t="s">
        <v>623</v>
      </c>
      <c r="M473" t="s">
        <v>665</v>
      </c>
    </row>
    <row r="474" spans="1:13" hidden="1" x14ac:dyDescent="0.35">
      <c r="A474">
        <v>2009</v>
      </c>
      <c r="B474" t="s">
        <v>29</v>
      </c>
      <c r="C474" t="s">
        <v>112</v>
      </c>
      <c r="D474" t="s">
        <v>174</v>
      </c>
      <c r="E474" t="s">
        <v>176</v>
      </c>
      <c r="F474">
        <f t="shared" si="28"/>
        <v>0</v>
      </c>
      <c r="G474">
        <f t="shared" si="29"/>
        <v>0</v>
      </c>
      <c r="H474">
        <f t="shared" si="30"/>
        <v>0</v>
      </c>
      <c r="I474">
        <f t="shared" si="31"/>
        <v>0</v>
      </c>
      <c r="J474" t="s">
        <v>282</v>
      </c>
      <c r="K474" t="s">
        <v>525</v>
      </c>
      <c r="L474" t="s">
        <v>635</v>
      </c>
    </row>
    <row r="475" spans="1:13" hidden="1" x14ac:dyDescent="0.35">
      <c r="A475">
        <v>2008</v>
      </c>
      <c r="B475" t="s">
        <v>29</v>
      </c>
      <c r="C475" t="s">
        <v>112</v>
      </c>
      <c r="D475" t="s">
        <v>174</v>
      </c>
      <c r="E475" t="s">
        <v>176</v>
      </c>
      <c r="F475">
        <f t="shared" si="28"/>
        <v>0</v>
      </c>
      <c r="G475">
        <f t="shared" si="29"/>
        <v>0</v>
      </c>
      <c r="H475">
        <f t="shared" si="30"/>
        <v>1</v>
      </c>
      <c r="I475">
        <f t="shared" si="31"/>
        <v>0</v>
      </c>
      <c r="J475" t="s">
        <v>282</v>
      </c>
      <c r="K475" t="s">
        <v>525</v>
      </c>
      <c r="L475" t="s">
        <v>635</v>
      </c>
    </row>
    <row r="476" spans="1:13" hidden="1" x14ac:dyDescent="0.35">
      <c r="A476">
        <v>2007</v>
      </c>
      <c r="B476" t="s">
        <v>29</v>
      </c>
      <c r="C476" t="s">
        <v>112</v>
      </c>
      <c r="D476" t="s">
        <v>174</v>
      </c>
      <c r="E476" t="s">
        <v>422</v>
      </c>
      <c r="F476">
        <f t="shared" si="28"/>
        <v>1</v>
      </c>
      <c r="G476">
        <f t="shared" si="29"/>
        <v>1</v>
      </c>
      <c r="H476">
        <f t="shared" si="30"/>
        <v>1</v>
      </c>
      <c r="I476">
        <f t="shared" si="31"/>
        <v>0</v>
      </c>
      <c r="J476" t="s">
        <v>282</v>
      </c>
      <c r="K476" t="s">
        <v>525</v>
      </c>
      <c r="L476" t="s">
        <v>635</v>
      </c>
    </row>
    <row r="477" spans="1:13" hidden="1" x14ac:dyDescent="0.35">
      <c r="A477">
        <v>2006</v>
      </c>
      <c r="B477" t="s">
        <v>29</v>
      </c>
      <c r="C477" t="s">
        <v>527</v>
      </c>
      <c r="D477" t="s">
        <v>527</v>
      </c>
      <c r="E477" t="s">
        <v>96</v>
      </c>
      <c r="F477">
        <f t="shared" si="28"/>
        <v>0</v>
      </c>
      <c r="G477">
        <f t="shared" si="29"/>
        <v>0</v>
      </c>
      <c r="H477">
        <f t="shared" si="30"/>
        <v>0</v>
      </c>
      <c r="I477">
        <f t="shared" si="31"/>
        <v>0</v>
      </c>
      <c r="J477" t="s">
        <v>282</v>
      </c>
      <c r="K477" t="s">
        <v>525</v>
      </c>
      <c r="L477" t="s">
        <v>632</v>
      </c>
    </row>
    <row r="478" spans="1:13" hidden="1" x14ac:dyDescent="0.35">
      <c r="A478">
        <v>2005</v>
      </c>
      <c r="B478" t="s">
        <v>29</v>
      </c>
      <c r="C478" t="s">
        <v>527</v>
      </c>
      <c r="D478" t="s">
        <v>527</v>
      </c>
      <c r="E478" t="s">
        <v>96</v>
      </c>
      <c r="F478">
        <f t="shared" si="28"/>
        <v>0</v>
      </c>
      <c r="G478">
        <f t="shared" si="29"/>
        <v>0</v>
      </c>
      <c r="H478">
        <f t="shared" si="30"/>
        <v>0</v>
      </c>
      <c r="I478">
        <f t="shared" si="31"/>
        <v>0</v>
      </c>
      <c r="J478" t="s">
        <v>282</v>
      </c>
      <c r="K478" t="s">
        <v>525</v>
      </c>
      <c r="L478" t="s">
        <v>632</v>
      </c>
    </row>
    <row r="479" spans="1:13" hidden="1" x14ac:dyDescent="0.35">
      <c r="A479">
        <v>2004</v>
      </c>
      <c r="B479" t="s">
        <v>29</v>
      </c>
      <c r="C479" t="s">
        <v>527</v>
      </c>
      <c r="D479" t="s">
        <v>527</v>
      </c>
      <c r="E479" t="s">
        <v>96</v>
      </c>
      <c r="F479">
        <f t="shared" si="28"/>
        <v>0</v>
      </c>
      <c r="G479">
        <f t="shared" si="29"/>
        <v>0</v>
      </c>
      <c r="H479">
        <f t="shared" si="30"/>
        <v>1</v>
      </c>
      <c r="I479">
        <f t="shared" si="31"/>
        <v>0</v>
      </c>
      <c r="J479" t="s">
        <v>282</v>
      </c>
      <c r="K479" t="s">
        <v>525</v>
      </c>
      <c r="L479" t="s">
        <v>632</v>
      </c>
    </row>
    <row r="480" spans="1:13" hidden="1" x14ac:dyDescent="0.35">
      <c r="A480">
        <v>2003</v>
      </c>
      <c r="B480" t="s">
        <v>29</v>
      </c>
      <c r="C480" t="s">
        <v>527</v>
      </c>
      <c r="D480" t="s">
        <v>527</v>
      </c>
      <c r="E480" t="s">
        <v>528</v>
      </c>
      <c r="F480">
        <f t="shared" si="28"/>
        <v>0</v>
      </c>
      <c r="G480">
        <f t="shared" si="29"/>
        <v>0</v>
      </c>
      <c r="H480">
        <f t="shared" si="30"/>
        <v>0</v>
      </c>
      <c r="I480">
        <f t="shared" si="31"/>
        <v>1</v>
      </c>
      <c r="J480" t="s">
        <v>282</v>
      </c>
      <c r="K480" t="s">
        <v>525</v>
      </c>
      <c r="L480" t="s">
        <v>632</v>
      </c>
    </row>
    <row r="481" spans="1:13" hidden="1" x14ac:dyDescent="0.35">
      <c r="A481">
        <v>2002</v>
      </c>
      <c r="B481" t="s">
        <v>29</v>
      </c>
      <c r="C481" t="s">
        <v>527</v>
      </c>
      <c r="D481" t="s">
        <v>527</v>
      </c>
      <c r="E481" t="s">
        <v>528</v>
      </c>
      <c r="F481">
        <f t="shared" si="28"/>
        <v>1</v>
      </c>
      <c r="G481">
        <f t="shared" si="29"/>
        <v>1</v>
      </c>
      <c r="H481">
        <f t="shared" si="30"/>
        <v>1</v>
      </c>
      <c r="I481">
        <f t="shared" si="31"/>
        <v>0</v>
      </c>
      <c r="J481" t="s">
        <v>423</v>
      </c>
      <c r="K481" t="s">
        <v>525</v>
      </c>
      <c r="L481" t="s">
        <v>632</v>
      </c>
    </row>
    <row r="482" spans="1:13" hidden="1" x14ac:dyDescent="0.35">
      <c r="A482">
        <v>2001</v>
      </c>
      <c r="B482" t="s">
        <v>29</v>
      </c>
      <c r="C482" t="s">
        <v>529</v>
      </c>
      <c r="D482" t="s">
        <v>112</v>
      </c>
      <c r="E482" t="s">
        <v>530</v>
      </c>
      <c r="F482">
        <f t="shared" si="28"/>
        <v>0</v>
      </c>
      <c r="G482">
        <f t="shared" si="29"/>
        <v>1</v>
      </c>
      <c r="H482">
        <f t="shared" si="30"/>
        <v>0</v>
      </c>
      <c r="I482">
        <f t="shared" si="31"/>
        <v>1</v>
      </c>
      <c r="J482" t="s">
        <v>423</v>
      </c>
      <c r="K482" t="s">
        <v>525</v>
      </c>
    </row>
    <row r="483" spans="1:13" hidden="1" x14ac:dyDescent="0.35">
      <c r="A483">
        <v>2000</v>
      </c>
      <c r="B483" t="s">
        <v>29</v>
      </c>
      <c r="C483" t="s">
        <v>529</v>
      </c>
      <c r="D483" t="s">
        <v>229</v>
      </c>
      <c r="E483" t="s">
        <v>530</v>
      </c>
      <c r="F483">
        <f t="shared" si="28"/>
        <v>0</v>
      </c>
      <c r="G483">
        <f t="shared" si="29"/>
        <v>0</v>
      </c>
      <c r="H483">
        <f t="shared" si="30"/>
        <v>0</v>
      </c>
      <c r="I483">
        <f t="shared" si="31"/>
        <v>0</v>
      </c>
      <c r="J483" t="s">
        <v>526</v>
      </c>
      <c r="K483" t="s">
        <v>525</v>
      </c>
      <c r="L483" t="s">
        <v>633</v>
      </c>
    </row>
    <row r="484" spans="1:13" hidden="1" x14ac:dyDescent="0.35">
      <c r="A484">
        <v>1999</v>
      </c>
      <c r="B484" t="s">
        <v>29</v>
      </c>
      <c r="C484" t="s">
        <v>529</v>
      </c>
      <c r="D484" t="s">
        <v>229</v>
      </c>
      <c r="E484" t="s">
        <v>530</v>
      </c>
      <c r="F484">
        <f t="shared" si="28"/>
        <v>1</v>
      </c>
      <c r="G484">
        <f t="shared" si="29"/>
        <v>1</v>
      </c>
      <c r="H484">
        <f t="shared" si="30"/>
        <v>1</v>
      </c>
      <c r="I484">
        <f t="shared" si="31"/>
        <v>1</v>
      </c>
      <c r="J484" t="s">
        <v>526</v>
      </c>
      <c r="K484" t="s">
        <v>525</v>
      </c>
      <c r="L484" t="s">
        <v>633</v>
      </c>
    </row>
    <row r="485" spans="1:13" x14ac:dyDescent="0.35">
      <c r="A485">
        <v>2025</v>
      </c>
      <c r="B485" t="s">
        <v>154</v>
      </c>
      <c r="C485" t="s">
        <v>224</v>
      </c>
      <c r="D485" t="s">
        <v>191</v>
      </c>
      <c r="E485" t="s">
        <v>37</v>
      </c>
      <c r="F485">
        <f t="shared" si="28"/>
        <v>1</v>
      </c>
      <c r="G485">
        <f t="shared" si="29"/>
        <v>1</v>
      </c>
      <c r="H485">
        <f t="shared" si="30"/>
        <v>0</v>
      </c>
      <c r="I485">
        <f t="shared" si="31"/>
        <v>0</v>
      </c>
      <c r="J485" t="s">
        <v>281</v>
      </c>
      <c r="K485" t="s">
        <v>531</v>
      </c>
      <c r="L485" t="s">
        <v>627</v>
      </c>
      <c r="M485" t="s">
        <v>665</v>
      </c>
    </row>
    <row r="486" spans="1:13" x14ac:dyDescent="0.35">
      <c r="A486">
        <v>2024</v>
      </c>
      <c r="B486" t="s">
        <v>154</v>
      </c>
      <c r="C486" t="s">
        <v>677</v>
      </c>
      <c r="D486" t="s">
        <v>645</v>
      </c>
      <c r="E486" t="s">
        <v>37</v>
      </c>
      <c r="F486">
        <f t="shared" si="28"/>
        <v>1</v>
      </c>
      <c r="G486">
        <f t="shared" si="29"/>
        <v>1</v>
      </c>
      <c r="H486">
        <f t="shared" si="30"/>
        <v>0</v>
      </c>
      <c r="I486">
        <f t="shared" si="31"/>
        <v>1</v>
      </c>
      <c r="J486" t="s">
        <v>281</v>
      </c>
      <c r="K486" t="s">
        <v>531</v>
      </c>
      <c r="L486" t="s">
        <v>627</v>
      </c>
      <c r="M486" t="s">
        <v>665</v>
      </c>
    </row>
    <row r="487" spans="1:13" x14ac:dyDescent="0.35">
      <c r="A487">
        <v>2023</v>
      </c>
      <c r="B487" t="s">
        <v>154</v>
      </c>
      <c r="C487" t="s">
        <v>24</v>
      </c>
      <c r="D487" t="s">
        <v>24</v>
      </c>
      <c r="E487" t="s">
        <v>37</v>
      </c>
      <c r="F487">
        <f t="shared" si="28"/>
        <v>0</v>
      </c>
      <c r="G487">
        <f t="shared" si="29"/>
        <v>0</v>
      </c>
      <c r="H487">
        <f t="shared" si="30"/>
        <v>0</v>
      </c>
      <c r="I487">
        <f t="shared" si="31"/>
        <v>0</v>
      </c>
      <c r="J487" t="s">
        <v>652</v>
      </c>
      <c r="K487" t="s">
        <v>531</v>
      </c>
      <c r="L487" t="s">
        <v>629</v>
      </c>
      <c r="M487" t="s">
        <v>665</v>
      </c>
    </row>
    <row r="488" spans="1:13" x14ac:dyDescent="0.35">
      <c r="A488">
        <v>2022</v>
      </c>
      <c r="B488" t="s">
        <v>154</v>
      </c>
      <c r="C488" t="s">
        <v>24</v>
      </c>
      <c r="D488" t="s">
        <v>24</v>
      </c>
      <c r="E488" t="s">
        <v>37</v>
      </c>
      <c r="F488">
        <f t="shared" si="28"/>
        <v>1</v>
      </c>
      <c r="G488">
        <f t="shared" si="29"/>
        <v>1</v>
      </c>
      <c r="H488">
        <f t="shared" si="30"/>
        <v>1</v>
      </c>
      <c r="I488">
        <f t="shared" si="31"/>
        <v>1</v>
      </c>
      <c r="J488" t="s">
        <v>652</v>
      </c>
      <c r="K488" t="s">
        <v>531</v>
      </c>
      <c r="L488" t="s">
        <v>629</v>
      </c>
      <c r="M488" t="s">
        <v>665</v>
      </c>
    </row>
    <row r="489" spans="1:13" x14ac:dyDescent="0.35">
      <c r="A489">
        <v>2021</v>
      </c>
      <c r="B489" t="s">
        <v>154</v>
      </c>
      <c r="C489" t="s">
        <v>155</v>
      </c>
      <c r="D489" t="s">
        <v>85</v>
      </c>
      <c r="E489" t="s">
        <v>84</v>
      </c>
      <c r="F489">
        <f t="shared" si="28"/>
        <v>0</v>
      </c>
      <c r="G489">
        <f t="shared" si="29"/>
        <v>0</v>
      </c>
      <c r="H489">
        <f t="shared" si="30"/>
        <v>1</v>
      </c>
      <c r="I489">
        <f t="shared" si="31"/>
        <v>0</v>
      </c>
      <c r="J489" t="s">
        <v>276</v>
      </c>
      <c r="K489" t="s">
        <v>531</v>
      </c>
      <c r="L489" t="s">
        <v>626</v>
      </c>
      <c r="M489" t="s">
        <v>673</v>
      </c>
    </row>
    <row r="490" spans="1:13" x14ac:dyDescent="0.35">
      <c r="A490">
        <v>2020</v>
      </c>
      <c r="B490" t="s">
        <v>154</v>
      </c>
      <c r="C490" t="s">
        <v>155</v>
      </c>
      <c r="D490" t="s">
        <v>85</v>
      </c>
      <c r="E490" t="s">
        <v>144</v>
      </c>
      <c r="F490">
        <f t="shared" si="28"/>
        <v>0</v>
      </c>
      <c r="G490">
        <f t="shared" si="29"/>
        <v>0</v>
      </c>
      <c r="H490">
        <f t="shared" si="30"/>
        <v>0</v>
      </c>
      <c r="I490">
        <f t="shared" si="31"/>
        <v>0</v>
      </c>
      <c r="J490" t="s">
        <v>276</v>
      </c>
      <c r="K490" t="s">
        <v>531</v>
      </c>
      <c r="L490" t="s">
        <v>626</v>
      </c>
      <c r="M490" t="s">
        <v>670</v>
      </c>
    </row>
    <row r="491" spans="1:13" x14ac:dyDescent="0.35">
      <c r="A491">
        <v>2019</v>
      </c>
      <c r="B491" t="s">
        <v>154</v>
      </c>
      <c r="C491" t="s">
        <v>155</v>
      </c>
      <c r="D491" t="s">
        <v>85</v>
      </c>
      <c r="E491" t="s">
        <v>144</v>
      </c>
      <c r="F491">
        <f t="shared" si="28"/>
        <v>0</v>
      </c>
      <c r="G491">
        <f t="shared" si="29"/>
        <v>0</v>
      </c>
      <c r="H491">
        <f t="shared" si="30"/>
        <v>0</v>
      </c>
      <c r="I491">
        <f t="shared" si="31"/>
        <v>1</v>
      </c>
      <c r="J491" t="s">
        <v>276</v>
      </c>
      <c r="K491" t="s">
        <v>531</v>
      </c>
      <c r="L491" t="s">
        <v>626</v>
      </c>
      <c r="M491" t="s">
        <v>670</v>
      </c>
    </row>
    <row r="492" spans="1:13" x14ac:dyDescent="0.35">
      <c r="A492">
        <v>2018</v>
      </c>
      <c r="B492" t="s">
        <v>154</v>
      </c>
      <c r="C492" t="s">
        <v>155</v>
      </c>
      <c r="D492" t="s">
        <v>85</v>
      </c>
      <c r="E492" t="s">
        <v>144</v>
      </c>
      <c r="F492">
        <f t="shared" si="28"/>
        <v>1</v>
      </c>
      <c r="G492">
        <f t="shared" si="29"/>
        <v>1</v>
      </c>
      <c r="H492">
        <f t="shared" si="30"/>
        <v>1</v>
      </c>
      <c r="I492">
        <f t="shared" si="31"/>
        <v>0</v>
      </c>
      <c r="J492" t="s">
        <v>277</v>
      </c>
      <c r="K492" t="s">
        <v>531</v>
      </c>
      <c r="L492" t="s">
        <v>626</v>
      </c>
      <c r="M492" t="s">
        <v>670</v>
      </c>
    </row>
    <row r="493" spans="1:13" x14ac:dyDescent="0.35">
      <c r="A493">
        <v>2017</v>
      </c>
      <c r="B493" t="s">
        <v>154</v>
      </c>
      <c r="C493" t="s">
        <v>90</v>
      </c>
      <c r="D493" t="s">
        <v>158</v>
      </c>
      <c r="E493" t="s">
        <v>161</v>
      </c>
      <c r="F493">
        <f t="shared" si="28"/>
        <v>0</v>
      </c>
      <c r="G493">
        <f t="shared" si="29"/>
        <v>1</v>
      </c>
      <c r="H493">
        <f t="shared" si="30"/>
        <v>0</v>
      </c>
      <c r="I493">
        <f t="shared" si="31"/>
        <v>0</v>
      </c>
      <c r="J493" t="s">
        <v>277</v>
      </c>
      <c r="K493" t="s">
        <v>531</v>
      </c>
      <c r="L493" t="s">
        <v>626</v>
      </c>
      <c r="M493" t="s">
        <v>673</v>
      </c>
    </row>
    <row r="494" spans="1:13" x14ac:dyDescent="0.35">
      <c r="A494">
        <v>2016</v>
      </c>
      <c r="B494" t="s">
        <v>154</v>
      </c>
      <c r="C494" t="s">
        <v>90</v>
      </c>
      <c r="D494" t="s">
        <v>159</v>
      </c>
      <c r="E494" t="s">
        <v>161</v>
      </c>
      <c r="F494">
        <f t="shared" si="28"/>
        <v>0</v>
      </c>
      <c r="G494">
        <f t="shared" si="29"/>
        <v>0</v>
      </c>
      <c r="H494">
        <f t="shared" si="30"/>
        <v>0</v>
      </c>
      <c r="I494">
        <f t="shared" si="31"/>
        <v>0</v>
      </c>
      <c r="J494" t="s">
        <v>277</v>
      </c>
      <c r="K494" t="s">
        <v>531</v>
      </c>
      <c r="L494" t="s">
        <v>626</v>
      </c>
      <c r="M494" t="s">
        <v>673</v>
      </c>
    </row>
    <row r="495" spans="1:13" x14ac:dyDescent="0.35">
      <c r="A495">
        <v>2015</v>
      </c>
      <c r="B495" t="s">
        <v>154</v>
      </c>
      <c r="C495" t="s">
        <v>90</v>
      </c>
      <c r="D495" t="s">
        <v>159</v>
      </c>
      <c r="E495" t="s">
        <v>161</v>
      </c>
      <c r="F495">
        <f t="shared" si="28"/>
        <v>1</v>
      </c>
      <c r="G495">
        <f t="shared" si="29"/>
        <v>1</v>
      </c>
      <c r="H495">
        <f t="shared" si="30"/>
        <v>1</v>
      </c>
      <c r="I495">
        <f t="shared" si="31"/>
        <v>0</v>
      </c>
      <c r="J495" t="s">
        <v>277</v>
      </c>
      <c r="K495" t="s">
        <v>531</v>
      </c>
      <c r="L495" t="s">
        <v>626</v>
      </c>
      <c r="M495" t="s">
        <v>673</v>
      </c>
    </row>
    <row r="496" spans="1:13" x14ac:dyDescent="0.35">
      <c r="A496">
        <v>2014</v>
      </c>
      <c r="B496" t="s">
        <v>154</v>
      </c>
      <c r="C496" t="s">
        <v>156</v>
      </c>
      <c r="D496" t="s">
        <v>85</v>
      </c>
      <c r="E496" t="s">
        <v>162</v>
      </c>
      <c r="F496">
        <f t="shared" si="28"/>
        <v>0</v>
      </c>
      <c r="G496">
        <f t="shared" si="29"/>
        <v>0</v>
      </c>
      <c r="H496">
        <f t="shared" si="30"/>
        <v>0</v>
      </c>
      <c r="I496">
        <f t="shared" si="31"/>
        <v>0</v>
      </c>
      <c r="J496" t="s">
        <v>277</v>
      </c>
      <c r="K496" t="s">
        <v>531</v>
      </c>
      <c r="L496" t="s">
        <v>626</v>
      </c>
      <c r="M496" t="s">
        <v>670</v>
      </c>
    </row>
    <row r="497" spans="1:13" x14ac:dyDescent="0.35">
      <c r="A497">
        <v>2013</v>
      </c>
      <c r="B497" t="s">
        <v>154</v>
      </c>
      <c r="C497" t="s">
        <v>156</v>
      </c>
      <c r="D497" t="s">
        <v>85</v>
      </c>
      <c r="E497" t="s">
        <v>162</v>
      </c>
      <c r="F497">
        <f t="shared" si="28"/>
        <v>0</v>
      </c>
      <c r="G497">
        <f t="shared" si="29"/>
        <v>1</v>
      </c>
      <c r="H497">
        <f t="shared" si="30"/>
        <v>0</v>
      </c>
      <c r="I497">
        <f t="shared" si="31"/>
        <v>0</v>
      </c>
      <c r="J497" t="s">
        <v>277</v>
      </c>
      <c r="K497" t="s">
        <v>531</v>
      </c>
      <c r="L497" t="s">
        <v>626</v>
      </c>
      <c r="M497" t="s">
        <v>670</v>
      </c>
    </row>
    <row r="498" spans="1:13" x14ac:dyDescent="0.35">
      <c r="A498">
        <v>2012</v>
      </c>
      <c r="B498" t="s">
        <v>154</v>
      </c>
      <c r="C498" t="s">
        <v>156</v>
      </c>
      <c r="D498" t="s">
        <v>160</v>
      </c>
      <c r="E498" t="s">
        <v>162</v>
      </c>
      <c r="F498">
        <f t="shared" si="28"/>
        <v>1</v>
      </c>
      <c r="G498">
        <f t="shared" si="29"/>
        <v>1</v>
      </c>
      <c r="H498">
        <f t="shared" si="30"/>
        <v>1</v>
      </c>
      <c r="I498">
        <f t="shared" si="31"/>
        <v>1</v>
      </c>
      <c r="J498" t="s">
        <v>277</v>
      </c>
      <c r="K498" t="s">
        <v>531</v>
      </c>
      <c r="L498" t="s">
        <v>626</v>
      </c>
      <c r="M498" t="s">
        <v>670</v>
      </c>
    </row>
    <row r="499" spans="1:13" x14ac:dyDescent="0.35">
      <c r="A499">
        <v>2011</v>
      </c>
      <c r="B499" t="s">
        <v>154</v>
      </c>
      <c r="C499" t="s">
        <v>109</v>
      </c>
      <c r="D499" t="s">
        <v>109</v>
      </c>
      <c r="E499" t="s">
        <v>163</v>
      </c>
      <c r="F499">
        <f t="shared" si="28"/>
        <v>1</v>
      </c>
      <c r="G499">
        <f t="shared" si="29"/>
        <v>0</v>
      </c>
      <c r="H499">
        <f t="shared" si="30"/>
        <v>1</v>
      </c>
      <c r="I499">
        <f t="shared" si="31"/>
        <v>1</v>
      </c>
      <c r="J499" t="s">
        <v>109</v>
      </c>
      <c r="K499" t="s">
        <v>531</v>
      </c>
      <c r="L499" t="s">
        <v>626</v>
      </c>
      <c r="M499" t="s">
        <v>670</v>
      </c>
    </row>
    <row r="500" spans="1:13" hidden="1" x14ac:dyDescent="0.35">
      <c r="A500">
        <v>2010</v>
      </c>
      <c r="B500" t="s">
        <v>154</v>
      </c>
      <c r="C500" t="s">
        <v>157</v>
      </c>
      <c r="D500" t="s">
        <v>109</v>
      </c>
      <c r="E500" t="s">
        <v>164</v>
      </c>
      <c r="F500">
        <f t="shared" si="28"/>
        <v>0</v>
      </c>
      <c r="G500">
        <f t="shared" si="29"/>
        <v>1</v>
      </c>
      <c r="H500">
        <f t="shared" si="30"/>
        <v>0</v>
      </c>
      <c r="I500">
        <f t="shared" si="31"/>
        <v>0</v>
      </c>
      <c r="J500" t="s">
        <v>278</v>
      </c>
      <c r="K500" t="s">
        <v>278</v>
      </c>
      <c r="L500" t="s">
        <v>626</v>
      </c>
      <c r="M500" t="s">
        <v>673</v>
      </c>
    </row>
    <row r="501" spans="1:13" hidden="1" x14ac:dyDescent="0.35">
      <c r="A501">
        <v>2009</v>
      </c>
      <c r="B501" t="s">
        <v>154</v>
      </c>
      <c r="C501" t="s">
        <v>157</v>
      </c>
      <c r="D501" t="s">
        <v>157</v>
      </c>
      <c r="E501" t="s">
        <v>164</v>
      </c>
      <c r="F501">
        <f t="shared" si="28"/>
        <v>1</v>
      </c>
      <c r="G501">
        <f t="shared" si="29"/>
        <v>1</v>
      </c>
      <c r="H501">
        <f t="shared" si="30"/>
        <v>1</v>
      </c>
      <c r="I501">
        <f t="shared" si="31"/>
        <v>0</v>
      </c>
      <c r="J501" t="s">
        <v>278</v>
      </c>
      <c r="K501" t="s">
        <v>278</v>
      </c>
    </row>
    <row r="502" spans="1:13" hidden="1" x14ac:dyDescent="0.35">
      <c r="A502">
        <v>2008</v>
      </c>
      <c r="B502" t="s">
        <v>154</v>
      </c>
      <c r="C502" t="s">
        <v>532</v>
      </c>
      <c r="D502" t="s">
        <v>160</v>
      </c>
      <c r="E502" t="s">
        <v>119</v>
      </c>
      <c r="F502">
        <f t="shared" si="28"/>
        <v>0</v>
      </c>
      <c r="G502">
        <f t="shared" si="29"/>
        <v>0</v>
      </c>
      <c r="H502">
        <f t="shared" si="30"/>
        <v>0</v>
      </c>
      <c r="I502">
        <f t="shared" si="31"/>
        <v>0</v>
      </c>
      <c r="J502" t="s">
        <v>278</v>
      </c>
      <c r="K502" t="s">
        <v>278</v>
      </c>
      <c r="L502" t="s">
        <v>621</v>
      </c>
    </row>
    <row r="503" spans="1:13" hidden="1" x14ac:dyDescent="0.35">
      <c r="A503">
        <v>2007</v>
      </c>
      <c r="B503" t="s">
        <v>154</v>
      </c>
      <c r="C503" t="s">
        <v>532</v>
      </c>
      <c r="D503" t="s">
        <v>160</v>
      </c>
      <c r="E503" t="s">
        <v>119</v>
      </c>
      <c r="F503">
        <f t="shared" si="28"/>
        <v>1</v>
      </c>
      <c r="G503">
        <f t="shared" si="29"/>
        <v>1</v>
      </c>
      <c r="H503">
        <f t="shared" si="30"/>
        <v>0</v>
      </c>
      <c r="I503">
        <f t="shared" si="31"/>
        <v>0</v>
      </c>
      <c r="J503" t="s">
        <v>278</v>
      </c>
      <c r="K503" t="s">
        <v>278</v>
      </c>
      <c r="L503" t="s">
        <v>621</v>
      </c>
    </row>
    <row r="504" spans="1:13" hidden="1" x14ac:dyDescent="0.35">
      <c r="A504">
        <v>2006</v>
      </c>
      <c r="B504" t="s">
        <v>154</v>
      </c>
      <c r="C504" t="s">
        <v>533</v>
      </c>
      <c r="D504" t="s">
        <v>435</v>
      </c>
      <c r="E504" t="s">
        <v>119</v>
      </c>
      <c r="F504">
        <f t="shared" si="28"/>
        <v>1</v>
      </c>
      <c r="G504">
        <f t="shared" si="29"/>
        <v>1</v>
      </c>
      <c r="H504">
        <f t="shared" si="30"/>
        <v>0</v>
      </c>
      <c r="I504">
        <f t="shared" si="31"/>
        <v>0</v>
      </c>
      <c r="J504" t="s">
        <v>278</v>
      </c>
      <c r="K504" t="s">
        <v>278</v>
      </c>
    </row>
    <row r="505" spans="1:13" hidden="1" x14ac:dyDescent="0.35">
      <c r="A505">
        <v>2005</v>
      </c>
      <c r="B505" t="s">
        <v>154</v>
      </c>
      <c r="C505" t="s">
        <v>112</v>
      </c>
      <c r="D505" t="s">
        <v>518</v>
      </c>
      <c r="E505" t="s">
        <v>119</v>
      </c>
      <c r="F505">
        <f t="shared" si="28"/>
        <v>0</v>
      </c>
      <c r="G505">
        <f t="shared" si="29"/>
        <v>0</v>
      </c>
      <c r="H505">
        <f t="shared" si="30"/>
        <v>0</v>
      </c>
      <c r="I505">
        <f t="shared" si="31"/>
        <v>0</v>
      </c>
      <c r="J505" t="s">
        <v>278</v>
      </c>
      <c r="K505" t="s">
        <v>278</v>
      </c>
      <c r="L505" t="s">
        <v>640</v>
      </c>
    </row>
    <row r="506" spans="1:13" hidden="1" x14ac:dyDescent="0.35">
      <c r="A506">
        <v>2004</v>
      </c>
      <c r="B506" t="s">
        <v>154</v>
      </c>
      <c r="C506" t="s">
        <v>112</v>
      </c>
      <c r="D506" t="s">
        <v>518</v>
      </c>
      <c r="E506" t="s">
        <v>119</v>
      </c>
      <c r="F506">
        <f t="shared" si="28"/>
        <v>1</v>
      </c>
      <c r="G506">
        <f t="shared" si="29"/>
        <v>1</v>
      </c>
      <c r="H506">
        <f t="shared" si="30"/>
        <v>1</v>
      </c>
      <c r="I506">
        <f t="shared" si="31"/>
        <v>0</v>
      </c>
      <c r="J506" t="s">
        <v>278</v>
      </c>
      <c r="K506" t="s">
        <v>278</v>
      </c>
      <c r="L506" t="s">
        <v>640</v>
      </c>
    </row>
    <row r="507" spans="1:13" hidden="1" x14ac:dyDescent="0.35">
      <c r="A507">
        <v>2003</v>
      </c>
      <c r="B507" t="s">
        <v>154</v>
      </c>
      <c r="C507" t="s">
        <v>198</v>
      </c>
      <c r="D507" t="s">
        <v>136</v>
      </c>
      <c r="E507" t="s">
        <v>163</v>
      </c>
      <c r="F507">
        <f t="shared" si="28"/>
        <v>0</v>
      </c>
      <c r="G507">
        <f t="shared" si="29"/>
        <v>0</v>
      </c>
      <c r="H507">
        <f t="shared" si="30"/>
        <v>0</v>
      </c>
      <c r="I507">
        <f t="shared" si="31"/>
        <v>0</v>
      </c>
      <c r="J507" t="s">
        <v>278</v>
      </c>
      <c r="K507" t="s">
        <v>278</v>
      </c>
      <c r="L507" t="s">
        <v>623</v>
      </c>
    </row>
    <row r="508" spans="1:13" hidden="1" x14ac:dyDescent="0.35">
      <c r="A508">
        <v>2002</v>
      </c>
      <c r="B508" t="s">
        <v>154</v>
      </c>
      <c r="C508" t="s">
        <v>198</v>
      </c>
      <c r="D508" t="s">
        <v>136</v>
      </c>
      <c r="E508" t="s">
        <v>163</v>
      </c>
      <c r="F508">
        <f t="shared" si="28"/>
        <v>1</v>
      </c>
      <c r="G508">
        <f t="shared" si="29"/>
        <v>1</v>
      </c>
      <c r="H508">
        <f t="shared" si="30"/>
        <v>0</v>
      </c>
      <c r="I508">
        <f t="shared" si="31"/>
        <v>0</v>
      </c>
      <c r="J508" t="s">
        <v>278</v>
      </c>
      <c r="K508" t="s">
        <v>278</v>
      </c>
      <c r="L508" t="s">
        <v>623</v>
      </c>
    </row>
    <row r="509" spans="1:13" hidden="1" x14ac:dyDescent="0.35">
      <c r="A509">
        <v>2001</v>
      </c>
      <c r="B509" t="s">
        <v>154</v>
      </c>
      <c r="C509" t="s">
        <v>155</v>
      </c>
      <c r="D509" t="s">
        <v>198</v>
      </c>
      <c r="E509" t="s">
        <v>163</v>
      </c>
      <c r="F509">
        <f t="shared" si="28"/>
        <v>0</v>
      </c>
      <c r="G509">
        <f t="shared" si="29"/>
        <v>0</v>
      </c>
      <c r="H509">
        <f t="shared" si="30"/>
        <v>0</v>
      </c>
      <c r="I509">
        <f t="shared" si="31"/>
        <v>0</v>
      </c>
      <c r="J509" t="s">
        <v>278</v>
      </c>
      <c r="K509" t="s">
        <v>278</v>
      </c>
      <c r="L509" t="s">
        <v>628</v>
      </c>
    </row>
    <row r="510" spans="1:13" hidden="1" x14ac:dyDescent="0.35">
      <c r="A510">
        <v>2000</v>
      </c>
      <c r="B510" t="s">
        <v>154</v>
      </c>
      <c r="C510" t="s">
        <v>155</v>
      </c>
      <c r="D510" t="s">
        <v>198</v>
      </c>
      <c r="E510" t="s">
        <v>163</v>
      </c>
      <c r="F510">
        <f t="shared" si="28"/>
        <v>0</v>
      </c>
      <c r="G510">
        <f t="shared" si="29"/>
        <v>0</v>
      </c>
      <c r="H510">
        <f t="shared" si="30"/>
        <v>1</v>
      </c>
      <c r="I510">
        <f t="shared" si="31"/>
        <v>0</v>
      </c>
      <c r="J510" t="s">
        <v>278</v>
      </c>
      <c r="K510" t="s">
        <v>278</v>
      </c>
      <c r="L510" t="s">
        <v>628</v>
      </c>
    </row>
    <row r="511" spans="1:13" hidden="1" x14ac:dyDescent="0.35">
      <c r="A511">
        <v>1999</v>
      </c>
      <c r="B511" t="s">
        <v>154</v>
      </c>
      <c r="C511" t="s">
        <v>155</v>
      </c>
      <c r="D511" t="s">
        <v>198</v>
      </c>
      <c r="E511" t="s">
        <v>534</v>
      </c>
      <c r="F511">
        <f t="shared" si="28"/>
        <v>1</v>
      </c>
      <c r="G511">
        <f t="shared" si="29"/>
        <v>1</v>
      </c>
      <c r="H511">
        <f t="shared" si="30"/>
        <v>1</v>
      </c>
      <c r="I511">
        <f t="shared" si="31"/>
        <v>1</v>
      </c>
      <c r="J511" t="s">
        <v>278</v>
      </c>
      <c r="K511" t="s">
        <v>278</v>
      </c>
      <c r="L511" t="s">
        <v>628</v>
      </c>
    </row>
    <row r="512" spans="1:13" x14ac:dyDescent="0.35">
      <c r="A512">
        <v>2025</v>
      </c>
      <c r="B512" t="s">
        <v>27</v>
      </c>
      <c r="C512" t="s">
        <v>643</v>
      </c>
      <c r="D512" t="s">
        <v>643</v>
      </c>
      <c r="E512" t="s">
        <v>93</v>
      </c>
      <c r="F512">
        <f t="shared" si="28"/>
        <v>0</v>
      </c>
      <c r="G512">
        <f t="shared" si="29"/>
        <v>0</v>
      </c>
      <c r="H512">
        <f t="shared" si="30"/>
        <v>0</v>
      </c>
      <c r="I512">
        <f t="shared" si="31"/>
        <v>0</v>
      </c>
      <c r="J512" t="s">
        <v>128</v>
      </c>
      <c r="K512" t="s">
        <v>536</v>
      </c>
      <c r="L512" t="s">
        <v>627</v>
      </c>
      <c r="M512" t="s">
        <v>669</v>
      </c>
    </row>
    <row r="513" spans="1:13" x14ac:dyDescent="0.35">
      <c r="A513">
        <v>2024</v>
      </c>
      <c r="B513" t="s">
        <v>27</v>
      </c>
      <c r="C513" t="s">
        <v>643</v>
      </c>
      <c r="D513" t="s">
        <v>643</v>
      </c>
      <c r="E513" t="s">
        <v>93</v>
      </c>
      <c r="F513">
        <f t="shared" si="28"/>
        <v>0</v>
      </c>
      <c r="G513">
        <f t="shared" si="29"/>
        <v>0</v>
      </c>
      <c r="H513">
        <f t="shared" si="30"/>
        <v>1</v>
      </c>
      <c r="I513">
        <f t="shared" si="31"/>
        <v>0</v>
      </c>
      <c r="J513" t="s">
        <v>128</v>
      </c>
      <c r="K513" t="s">
        <v>536</v>
      </c>
      <c r="L513" t="s">
        <v>627</v>
      </c>
      <c r="M513" t="s">
        <v>669</v>
      </c>
    </row>
    <row r="514" spans="1:13" x14ac:dyDescent="0.35">
      <c r="A514">
        <v>2023</v>
      </c>
      <c r="B514" t="s">
        <v>27</v>
      </c>
      <c r="C514" t="s">
        <v>643</v>
      </c>
      <c r="D514" t="s">
        <v>643</v>
      </c>
      <c r="E514" t="s">
        <v>167</v>
      </c>
      <c r="F514">
        <f t="shared" ref="F514:F577" si="32">IF(C514=C515,0,1)</f>
        <v>0</v>
      </c>
      <c r="G514">
        <f t="shared" ref="G514:G577" si="33">IF(D514=D515,0,1)</f>
        <v>0</v>
      </c>
      <c r="H514">
        <f t="shared" ref="H514:H577" si="34">IF(E514=E515,0,1)</f>
        <v>1</v>
      </c>
      <c r="I514">
        <f t="shared" ref="I514:I577" si="35">IF(J514=J515,0,1)</f>
        <v>0</v>
      </c>
      <c r="J514" t="s">
        <v>128</v>
      </c>
      <c r="K514" t="s">
        <v>536</v>
      </c>
      <c r="L514" t="s">
        <v>627</v>
      </c>
      <c r="M514" t="s">
        <v>667</v>
      </c>
    </row>
    <row r="515" spans="1:13" x14ac:dyDescent="0.35">
      <c r="A515">
        <v>2022</v>
      </c>
      <c r="B515" t="s">
        <v>27</v>
      </c>
      <c r="C515" t="s">
        <v>643</v>
      </c>
      <c r="D515" t="s">
        <v>643</v>
      </c>
      <c r="E515" t="s">
        <v>35</v>
      </c>
      <c r="F515">
        <f t="shared" si="32"/>
        <v>1</v>
      </c>
      <c r="G515">
        <f t="shared" si="33"/>
        <v>1</v>
      </c>
      <c r="H515">
        <f t="shared" si="34"/>
        <v>0</v>
      </c>
      <c r="I515">
        <f t="shared" si="35"/>
        <v>0</v>
      </c>
      <c r="J515" t="s">
        <v>128</v>
      </c>
      <c r="K515" t="s">
        <v>536</v>
      </c>
      <c r="L515" t="s">
        <v>627</v>
      </c>
      <c r="M515" t="s">
        <v>669</v>
      </c>
    </row>
    <row r="516" spans="1:13" x14ac:dyDescent="0.35">
      <c r="A516">
        <v>2021</v>
      </c>
      <c r="B516" t="s">
        <v>27</v>
      </c>
      <c r="C516" t="s">
        <v>34</v>
      </c>
      <c r="D516" t="s">
        <v>535</v>
      </c>
      <c r="E516" t="s">
        <v>35</v>
      </c>
      <c r="F516">
        <f t="shared" si="32"/>
        <v>0</v>
      </c>
      <c r="G516">
        <f t="shared" si="33"/>
        <v>1</v>
      </c>
      <c r="H516">
        <f t="shared" si="34"/>
        <v>0</v>
      </c>
      <c r="I516">
        <f t="shared" si="35"/>
        <v>0</v>
      </c>
      <c r="J516" t="s">
        <v>128</v>
      </c>
      <c r="K516" t="s">
        <v>536</v>
      </c>
      <c r="L516" t="s">
        <v>629</v>
      </c>
      <c r="M516" t="s">
        <v>669</v>
      </c>
    </row>
    <row r="517" spans="1:13" x14ac:dyDescent="0.35">
      <c r="A517">
        <v>2020</v>
      </c>
      <c r="B517" t="s">
        <v>27</v>
      </c>
      <c r="C517" t="s">
        <v>34</v>
      </c>
      <c r="D517" t="s">
        <v>18</v>
      </c>
      <c r="E517" t="s">
        <v>35</v>
      </c>
      <c r="F517">
        <f t="shared" si="32"/>
        <v>0</v>
      </c>
      <c r="G517">
        <f t="shared" si="33"/>
        <v>1</v>
      </c>
      <c r="H517">
        <f t="shared" si="34"/>
        <v>1</v>
      </c>
      <c r="I517">
        <f t="shared" si="35"/>
        <v>0</v>
      </c>
      <c r="J517" t="s">
        <v>128</v>
      </c>
      <c r="K517" t="s">
        <v>536</v>
      </c>
      <c r="L517" t="s">
        <v>629</v>
      </c>
      <c r="M517" t="s">
        <v>669</v>
      </c>
    </row>
    <row r="518" spans="1:13" x14ac:dyDescent="0.35">
      <c r="A518">
        <v>2019</v>
      </c>
      <c r="B518" t="s">
        <v>27</v>
      </c>
      <c r="C518" t="s">
        <v>34</v>
      </c>
      <c r="D518" t="s">
        <v>36</v>
      </c>
      <c r="E518" t="s">
        <v>37</v>
      </c>
      <c r="F518">
        <f t="shared" si="32"/>
        <v>1</v>
      </c>
      <c r="G518">
        <f t="shared" si="33"/>
        <v>1</v>
      </c>
      <c r="H518">
        <f t="shared" si="34"/>
        <v>1</v>
      </c>
      <c r="I518">
        <f t="shared" si="35"/>
        <v>0</v>
      </c>
      <c r="J518" t="s">
        <v>128</v>
      </c>
      <c r="K518" t="s">
        <v>536</v>
      </c>
      <c r="L518" t="s">
        <v>629</v>
      </c>
      <c r="M518" t="s">
        <v>665</v>
      </c>
    </row>
    <row r="519" spans="1:13" x14ac:dyDescent="0.35">
      <c r="A519">
        <v>2018</v>
      </c>
      <c r="B519" t="s">
        <v>27</v>
      </c>
      <c r="C519" t="s">
        <v>38</v>
      </c>
      <c r="D519" t="s">
        <v>38</v>
      </c>
      <c r="E519" t="s">
        <v>40</v>
      </c>
      <c r="F519">
        <f t="shared" si="32"/>
        <v>0</v>
      </c>
      <c r="G519">
        <f t="shared" si="33"/>
        <v>1</v>
      </c>
      <c r="H519">
        <f t="shared" si="34"/>
        <v>0</v>
      </c>
      <c r="I519">
        <f t="shared" si="35"/>
        <v>0</v>
      </c>
      <c r="J519" t="s">
        <v>128</v>
      </c>
      <c r="K519" t="s">
        <v>536</v>
      </c>
      <c r="L519" t="s">
        <v>623</v>
      </c>
      <c r="M519" t="s">
        <v>669</v>
      </c>
    </row>
    <row r="520" spans="1:13" x14ac:dyDescent="0.35">
      <c r="A520">
        <v>2017</v>
      </c>
      <c r="B520" t="s">
        <v>27</v>
      </c>
      <c r="C520" t="s">
        <v>38</v>
      </c>
      <c r="D520" t="s">
        <v>41</v>
      </c>
      <c r="E520" t="s">
        <v>40</v>
      </c>
      <c r="F520">
        <f t="shared" si="32"/>
        <v>0</v>
      </c>
      <c r="G520">
        <f t="shared" si="33"/>
        <v>0</v>
      </c>
      <c r="H520">
        <f t="shared" si="34"/>
        <v>1</v>
      </c>
      <c r="I520">
        <f t="shared" si="35"/>
        <v>0</v>
      </c>
      <c r="J520" t="s">
        <v>128</v>
      </c>
      <c r="K520" t="s">
        <v>536</v>
      </c>
      <c r="L520" t="s">
        <v>623</v>
      </c>
      <c r="M520" t="s">
        <v>669</v>
      </c>
    </row>
    <row r="521" spans="1:13" x14ac:dyDescent="0.35">
      <c r="A521">
        <v>2016</v>
      </c>
      <c r="B521" t="s">
        <v>27</v>
      </c>
      <c r="C521" t="s">
        <v>38</v>
      </c>
      <c r="D521" t="s">
        <v>41</v>
      </c>
      <c r="E521" t="s">
        <v>42</v>
      </c>
      <c r="F521">
        <f t="shared" si="32"/>
        <v>1</v>
      </c>
      <c r="G521">
        <f t="shared" si="33"/>
        <v>1</v>
      </c>
      <c r="H521">
        <f t="shared" si="34"/>
        <v>1</v>
      </c>
      <c r="I521">
        <f t="shared" si="35"/>
        <v>1</v>
      </c>
      <c r="J521" t="s">
        <v>128</v>
      </c>
      <c r="K521" t="s">
        <v>536</v>
      </c>
      <c r="L521" t="s">
        <v>623</v>
      </c>
      <c r="M521" t="s">
        <v>670</v>
      </c>
    </row>
    <row r="522" spans="1:13" x14ac:dyDescent="0.35">
      <c r="A522">
        <v>2015</v>
      </c>
      <c r="B522" t="s">
        <v>27</v>
      </c>
      <c r="C522" t="s">
        <v>43</v>
      </c>
      <c r="D522" t="s">
        <v>44</v>
      </c>
      <c r="E522" t="s">
        <v>45</v>
      </c>
      <c r="F522">
        <f t="shared" si="32"/>
        <v>0</v>
      </c>
      <c r="G522">
        <f t="shared" si="33"/>
        <v>0</v>
      </c>
      <c r="H522">
        <f t="shared" si="34"/>
        <v>0</v>
      </c>
      <c r="I522">
        <f t="shared" si="35"/>
        <v>0</v>
      </c>
      <c r="J522" t="s">
        <v>129</v>
      </c>
      <c r="K522" t="s">
        <v>536</v>
      </c>
      <c r="L522" t="s">
        <v>626</v>
      </c>
      <c r="M522" t="s">
        <v>670</v>
      </c>
    </row>
    <row r="523" spans="1:13" x14ac:dyDescent="0.35">
      <c r="A523">
        <v>2014</v>
      </c>
      <c r="B523" t="s">
        <v>27</v>
      </c>
      <c r="C523" t="s">
        <v>43</v>
      </c>
      <c r="D523" t="s">
        <v>44</v>
      </c>
      <c r="E523" t="s">
        <v>45</v>
      </c>
      <c r="F523">
        <f t="shared" si="32"/>
        <v>0</v>
      </c>
      <c r="G523">
        <f t="shared" si="33"/>
        <v>1</v>
      </c>
      <c r="H523">
        <f t="shared" si="34"/>
        <v>0</v>
      </c>
      <c r="I523">
        <f t="shared" si="35"/>
        <v>1</v>
      </c>
      <c r="J523" t="s">
        <v>129</v>
      </c>
      <c r="K523" t="s">
        <v>536</v>
      </c>
      <c r="L523" t="s">
        <v>626</v>
      </c>
      <c r="M523" t="s">
        <v>670</v>
      </c>
    </row>
    <row r="524" spans="1:13" x14ac:dyDescent="0.35">
      <c r="A524">
        <v>2013</v>
      </c>
      <c r="B524" t="s">
        <v>27</v>
      </c>
      <c r="C524" t="s">
        <v>43</v>
      </c>
      <c r="D524" t="s">
        <v>46</v>
      </c>
      <c r="E524" t="s">
        <v>45</v>
      </c>
      <c r="F524">
        <f t="shared" si="32"/>
        <v>0</v>
      </c>
      <c r="G524">
        <f t="shared" si="33"/>
        <v>0</v>
      </c>
      <c r="H524">
        <f t="shared" si="34"/>
        <v>0</v>
      </c>
      <c r="I524">
        <f t="shared" si="35"/>
        <v>0</v>
      </c>
      <c r="J524" t="s">
        <v>130</v>
      </c>
      <c r="K524" t="s">
        <v>536</v>
      </c>
      <c r="L524" t="s">
        <v>626</v>
      </c>
      <c r="M524" t="s">
        <v>670</v>
      </c>
    </row>
    <row r="525" spans="1:13" x14ac:dyDescent="0.35">
      <c r="A525">
        <v>2012</v>
      </c>
      <c r="B525" t="s">
        <v>27</v>
      </c>
      <c r="C525" t="s">
        <v>43</v>
      </c>
      <c r="D525" t="s">
        <v>46</v>
      </c>
      <c r="E525" t="s">
        <v>45</v>
      </c>
      <c r="F525">
        <f t="shared" si="32"/>
        <v>1</v>
      </c>
      <c r="G525">
        <f t="shared" si="33"/>
        <v>1</v>
      </c>
      <c r="H525">
        <f t="shared" si="34"/>
        <v>1</v>
      </c>
      <c r="I525">
        <f t="shared" si="35"/>
        <v>0</v>
      </c>
      <c r="J525" t="s">
        <v>130</v>
      </c>
      <c r="K525" t="s">
        <v>536</v>
      </c>
      <c r="L525" t="s">
        <v>626</v>
      </c>
      <c r="M525" t="s">
        <v>670</v>
      </c>
    </row>
    <row r="526" spans="1:13" x14ac:dyDescent="0.35">
      <c r="A526">
        <v>2011</v>
      </c>
      <c r="B526" t="s">
        <v>27</v>
      </c>
      <c r="C526" t="s">
        <v>47</v>
      </c>
      <c r="D526" t="s">
        <v>9</v>
      </c>
      <c r="E526" t="s">
        <v>49</v>
      </c>
      <c r="F526">
        <f t="shared" si="32"/>
        <v>0</v>
      </c>
      <c r="G526">
        <f t="shared" si="33"/>
        <v>1</v>
      </c>
      <c r="H526">
        <f t="shared" si="34"/>
        <v>0</v>
      </c>
      <c r="I526">
        <f t="shared" si="35"/>
        <v>0</v>
      </c>
      <c r="J526" t="s">
        <v>130</v>
      </c>
      <c r="K526" t="s">
        <v>536</v>
      </c>
      <c r="L526" t="s">
        <v>629</v>
      </c>
      <c r="M526" t="s">
        <v>670</v>
      </c>
    </row>
    <row r="527" spans="1:13" hidden="1" x14ac:dyDescent="0.35">
      <c r="A527">
        <v>2010</v>
      </c>
      <c r="B527" t="s">
        <v>27</v>
      </c>
      <c r="C527" t="s">
        <v>47</v>
      </c>
      <c r="D527" t="s">
        <v>48</v>
      </c>
      <c r="E527" t="s">
        <v>49</v>
      </c>
      <c r="F527">
        <f t="shared" si="32"/>
        <v>0</v>
      </c>
      <c r="G527">
        <f t="shared" si="33"/>
        <v>0</v>
      </c>
      <c r="H527">
        <f t="shared" si="34"/>
        <v>1</v>
      </c>
      <c r="I527">
        <f t="shared" si="35"/>
        <v>0</v>
      </c>
      <c r="J527" t="s">
        <v>130</v>
      </c>
      <c r="K527" t="s">
        <v>536</v>
      </c>
      <c r="L527" t="s">
        <v>623</v>
      </c>
      <c r="M527" t="s">
        <v>670</v>
      </c>
    </row>
    <row r="528" spans="1:13" hidden="1" x14ac:dyDescent="0.35">
      <c r="A528">
        <v>2009</v>
      </c>
      <c r="B528" t="s">
        <v>27</v>
      </c>
      <c r="C528" t="s">
        <v>47</v>
      </c>
      <c r="D528" t="s">
        <v>48</v>
      </c>
      <c r="E528" t="s">
        <v>201</v>
      </c>
      <c r="F528">
        <f t="shared" si="32"/>
        <v>0</v>
      </c>
      <c r="G528">
        <f t="shared" si="33"/>
        <v>0</v>
      </c>
      <c r="H528">
        <f t="shared" si="34"/>
        <v>0</v>
      </c>
      <c r="I528">
        <f t="shared" si="35"/>
        <v>0</v>
      </c>
      <c r="J528" t="s">
        <v>130</v>
      </c>
      <c r="K528" t="s">
        <v>536</v>
      </c>
      <c r="L528" t="s">
        <v>623</v>
      </c>
    </row>
    <row r="529" spans="1:13" hidden="1" x14ac:dyDescent="0.35">
      <c r="A529">
        <v>2008</v>
      </c>
      <c r="B529" t="s">
        <v>27</v>
      </c>
      <c r="C529" t="s">
        <v>47</v>
      </c>
      <c r="D529" t="s">
        <v>48</v>
      </c>
      <c r="E529" t="s">
        <v>201</v>
      </c>
      <c r="F529">
        <f t="shared" si="32"/>
        <v>1</v>
      </c>
      <c r="G529">
        <f t="shared" si="33"/>
        <v>1</v>
      </c>
      <c r="H529">
        <f t="shared" si="34"/>
        <v>1</v>
      </c>
      <c r="I529">
        <f t="shared" si="35"/>
        <v>1</v>
      </c>
      <c r="J529" t="s">
        <v>130</v>
      </c>
      <c r="K529" t="s">
        <v>537</v>
      </c>
      <c r="L529" t="s">
        <v>623</v>
      </c>
    </row>
    <row r="530" spans="1:13" hidden="1" x14ac:dyDescent="0.35">
      <c r="A530">
        <v>2007</v>
      </c>
      <c r="B530" t="s">
        <v>27</v>
      </c>
      <c r="C530" t="s">
        <v>135</v>
      </c>
      <c r="D530" t="s">
        <v>135</v>
      </c>
      <c r="E530" t="s">
        <v>217</v>
      </c>
      <c r="F530">
        <f t="shared" si="32"/>
        <v>1</v>
      </c>
      <c r="G530">
        <f t="shared" si="33"/>
        <v>1</v>
      </c>
      <c r="H530">
        <f t="shared" si="34"/>
        <v>0</v>
      </c>
      <c r="I530">
        <f t="shared" si="35"/>
        <v>0</v>
      </c>
      <c r="J530" t="s">
        <v>538</v>
      </c>
      <c r="K530" t="s">
        <v>537</v>
      </c>
      <c r="L530" t="s">
        <v>632</v>
      </c>
    </row>
    <row r="531" spans="1:13" hidden="1" x14ac:dyDescent="0.35">
      <c r="A531">
        <v>2006</v>
      </c>
      <c r="B531" t="s">
        <v>27</v>
      </c>
      <c r="C531" t="s">
        <v>539</v>
      </c>
      <c r="D531" t="s">
        <v>61</v>
      </c>
      <c r="E531" t="s">
        <v>217</v>
      </c>
      <c r="F531">
        <f t="shared" si="32"/>
        <v>0</v>
      </c>
      <c r="G531">
        <f t="shared" si="33"/>
        <v>1</v>
      </c>
      <c r="H531">
        <f t="shared" si="34"/>
        <v>1</v>
      </c>
      <c r="I531">
        <f t="shared" si="35"/>
        <v>0</v>
      </c>
      <c r="J531" t="s">
        <v>538</v>
      </c>
      <c r="K531" t="s">
        <v>537</v>
      </c>
    </row>
    <row r="532" spans="1:13" hidden="1" x14ac:dyDescent="0.35">
      <c r="A532">
        <v>2005</v>
      </c>
      <c r="B532" t="s">
        <v>27</v>
      </c>
      <c r="C532" t="s">
        <v>539</v>
      </c>
      <c r="D532" t="s">
        <v>197</v>
      </c>
      <c r="E532" t="s">
        <v>497</v>
      </c>
      <c r="F532">
        <f t="shared" si="32"/>
        <v>1</v>
      </c>
      <c r="G532">
        <f t="shared" si="33"/>
        <v>1</v>
      </c>
      <c r="H532">
        <f t="shared" si="34"/>
        <v>1</v>
      </c>
      <c r="I532">
        <f t="shared" si="35"/>
        <v>1</v>
      </c>
      <c r="J532" t="s">
        <v>538</v>
      </c>
      <c r="K532" t="s">
        <v>537</v>
      </c>
    </row>
    <row r="533" spans="1:13" hidden="1" x14ac:dyDescent="0.35">
      <c r="A533">
        <v>2004</v>
      </c>
      <c r="B533" t="s">
        <v>27</v>
      </c>
      <c r="C533" t="s">
        <v>20</v>
      </c>
      <c r="D533" t="s">
        <v>540</v>
      </c>
      <c r="E533" t="s">
        <v>489</v>
      </c>
      <c r="F533">
        <f t="shared" si="32"/>
        <v>0</v>
      </c>
      <c r="G533">
        <f t="shared" si="33"/>
        <v>1</v>
      </c>
      <c r="H533">
        <f t="shared" si="34"/>
        <v>0</v>
      </c>
      <c r="I533">
        <f t="shared" si="35"/>
        <v>0</v>
      </c>
      <c r="J533" t="s">
        <v>541</v>
      </c>
      <c r="K533" t="s">
        <v>537</v>
      </c>
      <c r="L533" t="s">
        <v>628</v>
      </c>
    </row>
    <row r="534" spans="1:13" hidden="1" x14ac:dyDescent="0.35">
      <c r="A534">
        <v>2003</v>
      </c>
      <c r="B534" t="s">
        <v>27</v>
      </c>
      <c r="C534" t="s">
        <v>20</v>
      </c>
      <c r="D534" t="s">
        <v>112</v>
      </c>
      <c r="E534" t="s">
        <v>489</v>
      </c>
      <c r="F534">
        <f t="shared" si="32"/>
        <v>0</v>
      </c>
      <c r="G534">
        <f t="shared" si="33"/>
        <v>0</v>
      </c>
      <c r="H534">
        <f t="shared" si="34"/>
        <v>0</v>
      </c>
      <c r="I534">
        <f t="shared" si="35"/>
        <v>0</v>
      </c>
      <c r="J534" t="s">
        <v>541</v>
      </c>
      <c r="K534" t="s">
        <v>537</v>
      </c>
    </row>
    <row r="535" spans="1:13" hidden="1" x14ac:dyDescent="0.35">
      <c r="A535">
        <v>2002</v>
      </c>
      <c r="B535" t="s">
        <v>27</v>
      </c>
      <c r="C535" t="s">
        <v>20</v>
      </c>
      <c r="D535" t="s">
        <v>112</v>
      </c>
      <c r="E535" t="s">
        <v>489</v>
      </c>
      <c r="F535">
        <f t="shared" si="32"/>
        <v>0</v>
      </c>
      <c r="G535">
        <f t="shared" si="33"/>
        <v>1</v>
      </c>
      <c r="H535">
        <f t="shared" si="34"/>
        <v>0</v>
      </c>
      <c r="I535">
        <f t="shared" si="35"/>
        <v>0</v>
      </c>
      <c r="J535" t="s">
        <v>541</v>
      </c>
      <c r="K535" t="s">
        <v>537</v>
      </c>
    </row>
    <row r="536" spans="1:13" hidden="1" x14ac:dyDescent="0.35">
      <c r="A536">
        <v>2001</v>
      </c>
      <c r="B536" t="s">
        <v>27</v>
      </c>
      <c r="C536" t="s">
        <v>20</v>
      </c>
      <c r="D536" t="s">
        <v>18</v>
      </c>
      <c r="E536" t="s">
        <v>489</v>
      </c>
      <c r="F536">
        <f t="shared" si="32"/>
        <v>0</v>
      </c>
      <c r="G536">
        <f t="shared" si="33"/>
        <v>0</v>
      </c>
      <c r="H536">
        <f t="shared" si="34"/>
        <v>0</v>
      </c>
      <c r="I536">
        <f t="shared" si="35"/>
        <v>0</v>
      </c>
      <c r="J536" t="s">
        <v>541</v>
      </c>
      <c r="K536" t="s">
        <v>537</v>
      </c>
      <c r="L536" t="s">
        <v>634</v>
      </c>
    </row>
    <row r="537" spans="1:13" hidden="1" x14ac:dyDescent="0.35">
      <c r="A537">
        <v>2000</v>
      </c>
      <c r="B537" t="s">
        <v>27</v>
      </c>
      <c r="C537" t="s">
        <v>20</v>
      </c>
      <c r="D537" t="s">
        <v>18</v>
      </c>
      <c r="E537" t="s">
        <v>489</v>
      </c>
      <c r="F537">
        <f t="shared" si="32"/>
        <v>1</v>
      </c>
      <c r="G537">
        <f t="shared" si="33"/>
        <v>1</v>
      </c>
      <c r="H537">
        <f t="shared" si="34"/>
        <v>1</v>
      </c>
      <c r="I537">
        <f t="shared" si="35"/>
        <v>0</v>
      </c>
      <c r="J537" t="s">
        <v>541</v>
      </c>
      <c r="K537" t="s">
        <v>537</v>
      </c>
      <c r="L537" t="s">
        <v>634</v>
      </c>
    </row>
    <row r="538" spans="1:13" hidden="1" x14ac:dyDescent="0.35">
      <c r="A538">
        <v>1999</v>
      </c>
      <c r="B538" t="s">
        <v>27</v>
      </c>
      <c r="C538" t="s">
        <v>542</v>
      </c>
      <c r="D538" t="s">
        <v>543</v>
      </c>
      <c r="E538" t="s">
        <v>20</v>
      </c>
      <c r="F538">
        <f t="shared" si="32"/>
        <v>1</v>
      </c>
      <c r="G538">
        <f t="shared" si="33"/>
        <v>1</v>
      </c>
      <c r="H538">
        <f t="shared" si="34"/>
        <v>1</v>
      </c>
      <c r="I538">
        <f t="shared" si="35"/>
        <v>1</v>
      </c>
      <c r="J538" t="s">
        <v>541</v>
      </c>
      <c r="K538" t="s">
        <v>537</v>
      </c>
    </row>
    <row r="539" spans="1:13" x14ac:dyDescent="0.35">
      <c r="A539">
        <v>2025</v>
      </c>
      <c r="B539" t="s">
        <v>166</v>
      </c>
      <c r="C539" t="s">
        <v>211</v>
      </c>
      <c r="D539" t="s">
        <v>211</v>
      </c>
      <c r="E539" t="s">
        <v>34</v>
      </c>
      <c r="F539">
        <f t="shared" si="32"/>
        <v>0</v>
      </c>
      <c r="G539">
        <f t="shared" si="33"/>
        <v>0</v>
      </c>
      <c r="H539">
        <f t="shared" si="34"/>
        <v>0</v>
      </c>
      <c r="I539">
        <f t="shared" si="35"/>
        <v>0</v>
      </c>
      <c r="J539" t="s">
        <v>649</v>
      </c>
      <c r="K539" t="s">
        <v>545</v>
      </c>
      <c r="L539" t="s">
        <v>627</v>
      </c>
      <c r="M539" t="s">
        <v>669</v>
      </c>
    </row>
    <row r="540" spans="1:13" x14ac:dyDescent="0.35">
      <c r="A540">
        <v>2024</v>
      </c>
      <c r="B540" t="s">
        <v>166</v>
      </c>
      <c r="C540" t="s">
        <v>211</v>
      </c>
      <c r="D540" t="s">
        <v>211</v>
      </c>
      <c r="E540" t="s">
        <v>34</v>
      </c>
      <c r="F540">
        <f t="shared" si="32"/>
        <v>0</v>
      </c>
      <c r="G540">
        <f t="shared" si="33"/>
        <v>0</v>
      </c>
      <c r="H540">
        <f t="shared" si="34"/>
        <v>0</v>
      </c>
      <c r="I540">
        <f t="shared" si="35"/>
        <v>0</v>
      </c>
      <c r="J540" t="s">
        <v>649</v>
      </c>
      <c r="K540" t="s">
        <v>545</v>
      </c>
      <c r="L540" t="s">
        <v>627</v>
      </c>
      <c r="M540" t="s">
        <v>669</v>
      </c>
    </row>
    <row r="541" spans="1:13" x14ac:dyDescent="0.35">
      <c r="A541">
        <v>2023</v>
      </c>
      <c r="B541" t="s">
        <v>166</v>
      </c>
      <c r="C541" t="s">
        <v>211</v>
      </c>
      <c r="D541" t="s">
        <v>211</v>
      </c>
      <c r="E541" t="s">
        <v>34</v>
      </c>
      <c r="F541">
        <f t="shared" si="32"/>
        <v>0</v>
      </c>
      <c r="G541">
        <f t="shared" si="33"/>
        <v>0</v>
      </c>
      <c r="H541">
        <f t="shared" si="34"/>
        <v>1</v>
      </c>
      <c r="I541">
        <f t="shared" si="35"/>
        <v>0</v>
      </c>
      <c r="J541" t="s">
        <v>649</v>
      </c>
      <c r="K541" t="s">
        <v>545</v>
      </c>
      <c r="L541" t="s">
        <v>627</v>
      </c>
      <c r="M541" t="s">
        <v>669</v>
      </c>
    </row>
    <row r="542" spans="1:13" x14ac:dyDescent="0.35">
      <c r="A542">
        <v>2022</v>
      </c>
      <c r="B542" t="s">
        <v>166</v>
      </c>
      <c r="C542" t="s">
        <v>211</v>
      </c>
      <c r="D542" t="s">
        <v>211</v>
      </c>
      <c r="E542" t="s">
        <v>396</v>
      </c>
      <c r="F542">
        <f t="shared" si="32"/>
        <v>1</v>
      </c>
      <c r="G542">
        <f t="shared" si="33"/>
        <v>1</v>
      </c>
      <c r="H542">
        <f t="shared" si="34"/>
        <v>1</v>
      </c>
      <c r="I542">
        <f t="shared" si="35"/>
        <v>1</v>
      </c>
      <c r="J542" t="s">
        <v>649</v>
      </c>
      <c r="K542" t="s">
        <v>545</v>
      </c>
      <c r="L542" t="s">
        <v>627</v>
      </c>
      <c r="M542" t="s">
        <v>667</v>
      </c>
    </row>
    <row r="543" spans="1:13" x14ac:dyDescent="0.35">
      <c r="A543">
        <v>2021</v>
      </c>
      <c r="B543" t="s">
        <v>166</v>
      </c>
      <c r="C543" t="s">
        <v>145</v>
      </c>
      <c r="D543" t="s">
        <v>544</v>
      </c>
      <c r="E543" t="s">
        <v>145</v>
      </c>
      <c r="F543">
        <f t="shared" si="32"/>
        <v>0</v>
      </c>
      <c r="G543">
        <f t="shared" si="33"/>
        <v>1</v>
      </c>
      <c r="H543">
        <f t="shared" si="34"/>
        <v>0</v>
      </c>
      <c r="I543">
        <f t="shared" si="35"/>
        <v>0</v>
      </c>
      <c r="J543" t="s">
        <v>290</v>
      </c>
      <c r="K543" t="s">
        <v>545</v>
      </c>
      <c r="L543" t="s">
        <v>664</v>
      </c>
      <c r="M543" t="s">
        <v>670</v>
      </c>
    </row>
    <row r="544" spans="1:13" x14ac:dyDescent="0.35">
      <c r="A544">
        <v>2020</v>
      </c>
      <c r="B544" t="s">
        <v>166</v>
      </c>
      <c r="C544" t="s">
        <v>145</v>
      </c>
      <c r="D544" t="s">
        <v>95</v>
      </c>
      <c r="E544" t="s">
        <v>145</v>
      </c>
      <c r="F544">
        <f t="shared" si="32"/>
        <v>0</v>
      </c>
      <c r="G544">
        <f t="shared" si="33"/>
        <v>1</v>
      </c>
      <c r="H544">
        <f t="shared" si="34"/>
        <v>0</v>
      </c>
      <c r="I544">
        <f t="shared" si="35"/>
        <v>0</v>
      </c>
      <c r="J544" t="s">
        <v>290</v>
      </c>
      <c r="K544" t="s">
        <v>545</v>
      </c>
      <c r="L544" t="s">
        <v>664</v>
      </c>
      <c r="M544" t="s">
        <v>670</v>
      </c>
    </row>
    <row r="545" spans="1:13" x14ac:dyDescent="0.35">
      <c r="A545">
        <v>2019</v>
      </c>
      <c r="B545" t="s">
        <v>166</v>
      </c>
      <c r="C545" t="s">
        <v>145</v>
      </c>
      <c r="D545" t="s">
        <v>104</v>
      </c>
      <c r="E545" t="s">
        <v>145</v>
      </c>
      <c r="F545">
        <f t="shared" si="32"/>
        <v>0</v>
      </c>
      <c r="G545">
        <f t="shared" si="33"/>
        <v>1</v>
      </c>
      <c r="H545">
        <f t="shared" si="34"/>
        <v>0</v>
      </c>
      <c r="I545">
        <f t="shared" si="35"/>
        <v>0</v>
      </c>
      <c r="J545" t="s">
        <v>290</v>
      </c>
      <c r="K545" t="s">
        <v>545</v>
      </c>
      <c r="L545" t="s">
        <v>664</v>
      </c>
      <c r="M545" t="s">
        <v>670</v>
      </c>
    </row>
    <row r="546" spans="1:13" x14ac:dyDescent="0.35">
      <c r="A546">
        <v>2018</v>
      </c>
      <c r="B546" t="s">
        <v>166</v>
      </c>
      <c r="C546" t="s">
        <v>145</v>
      </c>
      <c r="D546" t="s">
        <v>83</v>
      </c>
      <c r="E546" t="s">
        <v>145</v>
      </c>
      <c r="F546">
        <f t="shared" si="32"/>
        <v>0</v>
      </c>
      <c r="G546">
        <f t="shared" si="33"/>
        <v>1</v>
      </c>
      <c r="H546">
        <f t="shared" si="34"/>
        <v>0</v>
      </c>
      <c r="I546">
        <f t="shared" si="35"/>
        <v>0</v>
      </c>
      <c r="J546" t="s">
        <v>290</v>
      </c>
      <c r="K546" t="s">
        <v>545</v>
      </c>
      <c r="L546" t="s">
        <v>629</v>
      </c>
      <c r="M546" t="s">
        <v>670</v>
      </c>
    </row>
    <row r="547" spans="1:13" x14ac:dyDescent="0.35">
      <c r="A547">
        <v>2017</v>
      </c>
      <c r="B547" t="s">
        <v>166</v>
      </c>
      <c r="C547" t="s">
        <v>145</v>
      </c>
      <c r="D547" t="s">
        <v>115</v>
      </c>
      <c r="E547" t="s">
        <v>145</v>
      </c>
      <c r="F547">
        <f t="shared" si="32"/>
        <v>0</v>
      </c>
      <c r="G547">
        <f t="shared" si="33"/>
        <v>1</v>
      </c>
      <c r="H547">
        <f t="shared" si="34"/>
        <v>0</v>
      </c>
      <c r="I547">
        <f t="shared" si="35"/>
        <v>0</v>
      </c>
      <c r="J547" t="s">
        <v>290</v>
      </c>
      <c r="K547" t="s">
        <v>545</v>
      </c>
      <c r="L547" t="s">
        <v>623</v>
      </c>
      <c r="M547" t="s">
        <v>670</v>
      </c>
    </row>
    <row r="548" spans="1:13" x14ac:dyDescent="0.35">
      <c r="A548">
        <v>2016</v>
      </c>
      <c r="B548" t="s">
        <v>166</v>
      </c>
      <c r="C548" t="s">
        <v>145</v>
      </c>
      <c r="D548" t="s">
        <v>112</v>
      </c>
      <c r="E548" t="s">
        <v>145</v>
      </c>
      <c r="F548">
        <f t="shared" si="32"/>
        <v>0</v>
      </c>
      <c r="G548">
        <f t="shared" si="33"/>
        <v>0</v>
      </c>
      <c r="H548">
        <f t="shared" si="34"/>
        <v>0</v>
      </c>
      <c r="I548">
        <f t="shared" si="35"/>
        <v>0</v>
      </c>
      <c r="J548" t="s">
        <v>290</v>
      </c>
      <c r="K548" t="s">
        <v>545</v>
      </c>
      <c r="L548" t="s">
        <v>623</v>
      </c>
      <c r="M548" t="s">
        <v>670</v>
      </c>
    </row>
    <row r="549" spans="1:13" x14ac:dyDescent="0.35">
      <c r="A549">
        <v>2015</v>
      </c>
      <c r="B549" t="s">
        <v>166</v>
      </c>
      <c r="C549" t="s">
        <v>145</v>
      </c>
      <c r="D549" t="s">
        <v>112</v>
      </c>
      <c r="E549" t="s">
        <v>145</v>
      </c>
      <c r="F549">
        <f t="shared" si="32"/>
        <v>0</v>
      </c>
      <c r="G549">
        <f t="shared" si="33"/>
        <v>0</v>
      </c>
      <c r="H549">
        <f t="shared" si="34"/>
        <v>0</v>
      </c>
      <c r="I549">
        <f t="shared" si="35"/>
        <v>0</v>
      </c>
      <c r="J549" t="s">
        <v>290</v>
      </c>
      <c r="K549" t="s">
        <v>545</v>
      </c>
      <c r="L549" t="s">
        <v>623</v>
      </c>
      <c r="M549" t="s">
        <v>670</v>
      </c>
    </row>
    <row r="550" spans="1:13" x14ac:dyDescent="0.35">
      <c r="A550">
        <v>2014</v>
      </c>
      <c r="B550" t="s">
        <v>166</v>
      </c>
      <c r="C550" t="s">
        <v>145</v>
      </c>
      <c r="D550" t="s">
        <v>112</v>
      </c>
      <c r="E550" t="s">
        <v>145</v>
      </c>
      <c r="F550">
        <f t="shared" si="32"/>
        <v>1</v>
      </c>
      <c r="G550">
        <f t="shared" si="33"/>
        <v>1</v>
      </c>
      <c r="H550">
        <f t="shared" si="34"/>
        <v>1</v>
      </c>
      <c r="I550">
        <f t="shared" si="35"/>
        <v>0</v>
      </c>
      <c r="J550" t="s">
        <v>290</v>
      </c>
      <c r="K550" t="s">
        <v>545</v>
      </c>
      <c r="L550" t="s">
        <v>623</v>
      </c>
      <c r="M550" t="s">
        <v>670</v>
      </c>
    </row>
    <row r="551" spans="1:13" x14ac:dyDescent="0.35">
      <c r="A551">
        <v>2013</v>
      </c>
      <c r="B551" t="s">
        <v>166</v>
      </c>
      <c r="C551" t="s">
        <v>10</v>
      </c>
      <c r="D551" t="s">
        <v>159</v>
      </c>
      <c r="E551" t="s">
        <v>10</v>
      </c>
      <c r="F551">
        <f t="shared" si="32"/>
        <v>0</v>
      </c>
      <c r="G551">
        <f t="shared" si="33"/>
        <v>0</v>
      </c>
      <c r="H551">
        <f t="shared" si="34"/>
        <v>0</v>
      </c>
      <c r="I551">
        <f t="shared" si="35"/>
        <v>0</v>
      </c>
      <c r="J551" t="s">
        <v>290</v>
      </c>
      <c r="K551" t="s">
        <v>545</v>
      </c>
      <c r="L551" t="s">
        <v>626</v>
      </c>
      <c r="M551" t="s">
        <v>665</v>
      </c>
    </row>
    <row r="552" spans="1:13" x14ac:dyDescent="0.35">
      <c r="A552">
        <v>2012</v>
      </c>
      <c r="B552" t="s">
        <v>166</v>
      </c>
      <c r="C552" t="s">
        <v>10</v>
      </c>
      <c r="D552" t="s">
        <v>159</v>
      </c>
      <c r="E552" t="s">
        <v>10</v>
      </c>
      <c r="F552">
        <f t="shared" si="32"/>
        <v>0</v>
      </c>
      <c r="G552">
        <f t="shared" si="33"/>
        <v>0</v>
      </c>
      <c r="H552">
        <f t="shared" si="34"/>
        <v>0</v>
      </c>
      <c r="I552">
        <f t="shared" si="35"/>
        <v>0</v>
      </c>
      <c r="J552" t="s">
        <v>290</v>
      </c>
      <c r="K552" t="s">
        <v>545</v>
      </c>
      <c r="L552" t="s">
        <v>626</v>
      </c>
      <c r="M552" t="s">
        <v>665</v>
      </c>
    </row>
    <row r="553" spans="1:13" x14ac:dyDescent="0.35">
      <c r="A553">
        <v>2011</v>
      </c>
      <c r="B553" t="s">
        <v>166</v>
      </c>
      <c r="C553" t="s">
        <v>10</v>
      </c>
      <c r="D553" t="s">
        <v>159</v>
      </c>
      <c r="E553" t="s">
        <v>10</v>
      </c>
      <c r="F553">
        <f t="shared" si="32"/>
        <v>1</v>
      </c>
      <c r="G553">
        <f t="shared" si="33"/>
        <v>1</v>
      </c>
      <c r="H553">
        <f t="shared" si="34"/>
        <v>0</v>
      </c>
      <c r="I553">
        <f t="shared" si="35"/>
        <v>0</v>
      </c>
      <c r="J553" t="s">
        <v>290</v>
      </c>
      <c r="K553" t="s">
        <v>545</v>
      </c>
      <c r="L553" t="s">
        <v>626</v>
      </c>
      <c r="M553" t="s">
        <v>665</v>
      </c>
    </row>
    <row r="554" spans="1:13" hidden="1" x14ac:dyDescent="0.35">
      <c r="A554">
        <v>2010</v>
      </c>
      <c r="B554" t="s">
        <v>166</v>
      </c>
      <c r="C554" t="s">
        <v>113</v>
      </c>
      <c r="D554" t="s">
        <v>216</v>
      </c>
      <c r="E554" t="s">
        <v>10</v>
      </c>
      <c r="F554">
        <f t="shared" si="32"/>
        <v>0</v>
      </c>
      <c r="G554">
        <f t="shared" si="33"/>
        <v>0</v>
      </c>
      <c r="H554">
        <f t="shared" si="34"/>
        <v>0</v>
      </c>
      <c r="I554">
        <f t="shared" si="35"/>
        <v>0</v>
      </c>
      <c r="J554" t="s">
        <v>290</v>
      </c>
      <c r="K554" t="s">
        <v>545</v>
      </c>
      <c r="L554" t="s">
        <v>631</v>
      </c>
      <c r="M554" t="s">
        <v>665</v>
      </c>
    </row>
    <row r="555" spans="1:13" hidden="1" x14ac:dyDescent="0.35">
      <c r="A555">
        <v>2009</v>
      </c>
      <c r="B555" t="s">
        <v>166</v>
      </c>
      <c r="C555" t="s">
        <v>113</v>
      </c>
      <c r="D555" t="s">
        <v>216</v>
      </c>
      <c r="E555" t="s">
        <v>10</v>
      </c>
      <c r="F555">
        <f t="shared" si="32"/>
        <v>0</v>
      </c>
      <c r="G555">
        <f t="shared" si="33"/>
        <v>0</v>
      </c>
      <c r="H555">
        <f t="shared" si="34"/>
        <v>0</v>
      </c>
      <c r="I555">
        <f t="shared" si="35"/>
        <v>0</v>
      </c>
      <c r="J555" t="s">
        <v>290</v>
      </c>
      <c r="K555" t="s">
        <v>545</v>
      </c>
      <c r="L555" t="s">
        <v>631</v>
      </c>
    </row>
    <row r="556" spans="1:13" hidden="1" x14ac:dyDescent="0.35">
      <c r="A556">
        <v>2008</v>
      </c>
      <c r="B556" t="s">
        <v>166</v>
      </c>
      <c r="C556" t="s">
        <v>113</v>
      </c>
      <c r="D556" t="s">
        <v>216</v>
      </c>
      <c r="E556" t="s">
        <v>10</v>
      </c>
      <c r="F556">
        <f t="shared" si="32"/>
        <v>0</v>
      </c>
      <c r="G556">
        <f t="shared" si="33"/>
        <v>0</v>
      </c>
      <c r="H556">
        <f t="shared" si="34"/>
        <v>0</v>
      </c>
      <c r="I556">
        <f t="shared" si="35"/>
        <v>0</v>
      </c>
      <c r="J556" t="s">
        <v>290</v>
      </c>
      <c r="K556" t="s">
        <v>545</v>
      </c>
      <c r="L556" t="s">
        <v>631</v>
      </c>
    </row>
    <row r="557" spans="1:13" hidden="1" x14ac:dyDescent="0.35">
      <c r="A557">
        <v>2007</v>
      </c>
      <c r="B557" t="s">
        <v>166</v>
      </c>
      <c r="C557" t="s">
        <v>113</v>
      </c>
      <c r="D557" t="s">
        <v>216</v>
      </c>
      <c r="E557" t="s">
        <v>10</v>
      </c>
      <c r="F557">
        <f t="shared" si="32"/>
        <v>0</v>
      </c>
      <c r="G557">
        <f t="shared" si="33"/>
        <v>0</v>
      </c>
      <c r="H557">
        <f t="shared" si="34"/>
        <v>1</v>
      </c>
      <c r="I557">
        <f t="shared" si="35"/>
        <v>0</v>
      </c>
      <c r="J557" t="s">
        <v>290</v>
      </c>
      <c r="K557" t="s">
        <v>545</v>
      </c>
      <c r="L557" t="s">
        <v>631</v>
      </c>
    </row>
    <row r="558" spans="1:13" hidden="1" x14ac:dyDescent="0.35">
      <c r="A558">
        <v>2006</v>
      </c>
      <c r="B558" t="s">
        <v>166</v>
      </c>
      <c r="C558" t="s">
        <v>113</v>
      </c>
      <c r="D558" t="s">
        <v>216</v>
      </c>
      <c r="E558" t="s">
        <v>99</v>
      </c>
      <c r="F558">
        <f t="shared" si="32"/>
        <v>1</v>
      </c>
      <c r="G558">
        <f t="shared" si="33"/>
        <v>1</v>
      </c>
      <c r="H558">
        <f t="shared" si="34"/>
        <v>1</v>
      </c>
      <c r="I558">
        <f t="shared" si="35"/>
        <v>1</v>
      </c>
      <c r="J558" t="s">
        <v>290</v>
      </c>
      <c r="K558" t="s">
        <v>545</v>
      </c>
      <c r="L558" t="s">
        <v>631</v>
      </c>
    </row>
    <row r="559" spans="1:13" hidden="1" x14ac:dyDescent="0.35">
      <c r="A559">
        <v>2005</v>
      </c>
      <c r="B559" t="s">
        <v>166</v>
      </c>
      <c r="C559" t="s">
        <v>220</v>
      </c>
      <c r="D559" t="s">
        <v>551</v>
      </c>
      <c r="E559" t="s">
        <v>422</v>
      </c>
      <c r="F559">
        <f t="shared" si="32"/>
        <v>0</v>
      </c>
      <c r="G559">
        <f t="shared" si="33"/>
        <v>1</v>
      </c>
      <c r="H559">
        <f t="shared" si="34"/>
        <v>0</v>
      </c>
      <c r="I559">
        <f t="shared" si="35"/>
        <v>0</v>
      </c>
      <c r="J559" t="s">
        <v>547</v>
      </c>
      <c r="K559" t="s">
        <v>545</v>
      </c>
    </row>
    <row r="560" spans="1:13" hidden="1" x14ac:dyDescent="0.35">
      <c r="A560">
        <v>2004</v>
      </c>
      <c r="B560" t="s">
        <v>166</v>
      </c>
      <c r="C560" t="s">
        <v>220</v>
      </c>
      <c r="D560" t="s">
        <v>197</v>
      </c>
      <c r="E560" t="s">
        <v>422</v>
      </c>
      <c r="F560">
        <f t="shared" si="32"/>
        <v>0</v>
      </c>
      <c r="G560">
        <f t="shared" si="33"/>
        <v>0</v>
      </c>
      <c r="H560">
        <f t="shared" si="34"/>
        <v>1</v>
      </c>
      <c r="I560">
        <f t="shared" si="35"/>
        <v>0</v>
      </c>
      <c r="J560" t="s">
        <v>547</v>
      </c>
      <c r="K560" t="s">
        <v>546</v>
      </c>
    </row>
    <row r="561" spans="1:13" hidden="1" x14ac:dyDescent="0.35">
      <c r="A561">
        <v>2003</v>
      </c>
      <c r="B561" t="s">
        <v>166</v>
      </c>
      <c r="C561" t="s">
        <v>220</v>
      </c>
      <c r="D561" t="s">
        <v>197</v>
      </c>
      <c r="E561" t="s">
        <v>550</v>
      </c>
      <c r="F561">
        <f t="shared" si="32"/>
        <v>0</v>
      </c>
      <c r="G561">
        <f t="shared" si="33"/>
        <v>0</v>
      </c>
      <c r="H561">
        <f t="shared" si="34"/>
        <v>1</v>
      </c>
      <c r="I561">
        <f t="shared" si="35"/>
        <v>0</v>
      </c>
      <c r="J561" t="s">
        <v>547</v>
      </c>
      <c r="K561" t="s">
        <v>546</v>
      </c>
    </row>
    <row r="562" spans="1:13" hidden="1" x14ac:dyDescent="0.35">
      <c r="A562">
        <v>2002</v>
      </c>
      <c r="B562" t="s">
        <v>166</v>
      </c>
      <c r="C562" t="s">
        <v>220</v>
      </c>
      <c r="D562" t="s">
        <v>197</v>
      </c>
      <c r="E562" t="s">
        <v>534</v>
      </c>
      <c r="F562">
        <f t="shared" si="32"/>
        <v>1</v>
      </c>
      <c r="G562">
        <f t="shared" si="33"/>
        <v>1</v>
      </c>
      <c r="H562">
        <f t="shared" si="34"/>
        <v>1</v>
      </c>
      <c r="I562">
        <f t="shared" si="35"/>
        <v>1</v>
      </c>
      <c r="J562" t="s">
        <v>547</v>
      </c>
      <c r="K562" t="s">
        <v>546</v>
      </c>
    </row>
    <row r="563" spans="1:13" hidden="1" x14ac:dyDescent="0.35">
      <c r="A563">
        <v>2001</v>
      </c>
      <c r="B563" t="s">
        <v>166</v>
      </c>
      <c r="C563" t="s">
        <v>383</v>
      </c>
      <c r="D563" t="s">
        <v>478</v>
      </c>
      <c r="E563" t="s">
        <v>490</v>
      </c>
      <c r="F563">
        <f t="shared" si="32"/>
        <v>0</v>
      </c>
      <c r="G563">
        <f t="shared" si="33"/>
        <v>0</v>
      </c>
      <c r="H563">
        <f t="shared" si="34"/>
        <v>0</v>
      </c>
      <c r="I563">
        <f t="shared" si="35"/>
        <v>0</v>
      </c>
      <c r="J563" t="s">
        <v>383</v>
      </c>
      <c r="K563" t="s">
        <v>546</v>
      </c>
    </row>
    <row r="564" spans="1:13" hidden="1" x14ac:dyDescent="0.35">
      <c r="A564">
        <v>2000</v>
      </c>
      <c r="B564" t="s">
        <v>166</v>
      </c>
      <c r="C564" t="s">
        <v>383</v>
      </c>
      <c r="D564" t="s">
        <v>478</v>
      </c>
      <c r="E564" t="s">
        <v>490</v>
      </c>
      <c r="F564">
        <f t="shared" si="32"/>
        <v>0</v>
      </c>
      <c r="G564">
        <f t="shared" si="33"/>
        <v>1</v>
      </c>
      <c r="H564">
        <f t="shared" si="34"/>
        <v>1</v>
      </c>
      <c r="I564">
        <f t="shared" si="35"/>
        <v>1</v>
      </c>
      <c r="J564" t="s">
        <v>383</v>
      </c>
      <c r="K564" t="s">
        <v>546</v>
      </c>
    </row>
    <row r="565" spans="1:13" hidden="1" x14ac:dyDescent="0.35">
      <c r="A565">
        <v>1999</v>
      </c>
      <c r="B565" t="s">
        <v>166</v>
      </c>
      <c r="C565" t="s">
        <v>383</v>
      </c>
      <c r="D565" t="s">
        <v>549</v>
      </c>
      <c r="E565" t="s">
        <v>451</v>
      </c>
      <c r="F565">
        <f t="shared" si="32"/>
        <v>1</v>
      </c>
      <c r="G565">
        <f t="shared" si="33"/>
        <v>1</v>
      </c>
      <c r="H565">
        <f t="shared" si="34"/>
        <v>1</v>
      </c>
      <c r="I565">
        <f t="shared" si="35"/>
        <v>1</v>
      </c>
      <c r="J565" t="s">
        <v>548</v>
      </c>
      <c r="K565" t="s">
        <v>546</v>
      </c>
    </row>
    <row r="566" spans="1:13" x14ac:dyDescent="0.35">
      <c r="A566">
        <v>2025</v>
      </c>
      <c r="B566" t="s">
        <v>22</v>
      </c>
      <c r="C566" t="s">
        <v>57</v>
      </c>
      <c r="D566" t="s">
        <v>24</v>
      </c>
      <c r="E566" t="s">
        <v>691</v>
      </c>
      <c r="F566">
        <f t="shared" si="32"/>
        <v>1</v>
      </c>
      <c r="G566">
        <f t="shared" si="33"/>
        <v>1</v>
      </c>
      <c r="H566">
        <f t="shared" si="34"/>
        <v>1</v>
      </c>
      <c r="I566">
        <f t="shared" si="35"/>
        <v>0</v>
      </c>
      <c r="J566" t="s">
        <v>685</v>
      </c>
      <c r="K566" t="s">
        <v>552</v>
      </c>
      <c r="L566" t="s">
        <v>627</v>
      </c>
      <c r="M566" t="s">
        <v>669</v>
      </c>
    </row>
    <row r="567" spans="1:13" x14ac:dyDescent="0.35">
      <c r="A567">
        <v>2024</v>
      </c>
      <c r="B567" t="s">
        <v>22</v>
      </c>
      <c r="C567" t="s">
        <v>678</v>
      </c>
      <c r="D567" t="s">
        <v>340</v>
      </c>
      <c r="E567" t="s">
        <v>678</v>
      </c>
      <c r="F567">
        <f t="shared" si="32"/>
        <v>1</v>
      </c>
      <c r="G567">
        <f t="shared" si="33"/>
        <v>1</v>
      </c>
      <c r="H567">
        <f t="shared" si="34"/>
        <v>1</v>
      </c>
      <c r="I567">
        <f t="shared" si="35"/>
        <v>1</v>
      </c>
      <c r="J567" t="s">
        <v>685</v>
      </c>
      <c r="K567" t="s">
        <v>552</v>
      </c>
      <c r="L567" t="s">
        <v>627</v>
      </c>
      <c r="M567" t="s">
        <v>669</v>
      </c>
    </row>
    <row r="568" spans="1:13" x14ac:dyDescent="0.35">
      <c r="A568">
        <v>2023</v>
      </c>
      <c r="B568" t="s">
        <v>22</v>
      </c>
      <c r="C568" t="s">
        <v>23</v>
      </c>
      <c r="D568" t="s">
        <v>26</v>
      </c>
      <c r="E568" t="s">
        <v>23</v>
      </c>
      <c r="F568">
        <f t="shared" si="32"/>
        <v>0</v>
      </c>
      <c r="G568">
        <f t="shared" si="33"/>
        <v>1</v>
      </c>
      <c r="H568">
        <f t="shared" si="34"/>
        <v>0</v>
      </c>
      <c r="I568">
        <f t="shared" si="35"/>
        <v>0</v>
      </c>
      <c r="J568" t="s">
        <v>23</v>
      </c>
      <c r="K568" t="s">
        <v>552</v>
      </c>
      <c r="L568" t="s">
        <v>629</v>
      </c>
      <c r="M568" t="s">
        <v>669</v>
      </c>
    </row>
    <row r="569" spans="1:13" x14ac:dyDescent="0.35">
      <c r="A569">
        <v>2022</v>
      </c>
      <c r="B569" t="s">
        <v>22</v>
      </c>
      <c r="C569" t="s">
        <v>23</v>
      </c>
      <c r="D569" t="s">
        <v>23</v>
      </c>
      <c r="E569" t="s">
        <v>23</v>
      </c>
      <c r="F569">
        <f t="shared" si="32"/>
        <v>0</v>
      </c>
      <c r="G569">
        <f t="shared" si="33"/>
        <v>1</v>
      </c>
      <c r="H569">
        <f t="shared" si="34"/>
        <v>0</v>
      </c>
      <c r="I569">
        <f t="shared" si="35"/>
        <v>0</v>
      </c>
      <c r="J569" t="s">
        <v>23</v>
      </c>
      <c r="K569" t="s">
        <v>552</v>
      </c>
      <c r="L569" t="s">
        <v>629</v>
      </c>
      <c r="M569" t="s">
        <v>669</v>
      </c>
    </row>
    <row r="570" spans="1:13" x14ac:dyDescent="0.35">
      <c r="A570">
        <v>2021</v>
      </c>
      <c r="B570" t="s">
        <v>22</v>
      </c>
      <c r="C570" t="s">
        <v>23</v>
      </c>
      <c r="D570" t="s">
        <v>24</v>
      </c>
      <c r="E570" t="s">
        <v>23</v>
      </c>
      <c r="F570">
        <f t="shared" si="32"/>
        <v>0</v>
      </c>
      <c r="G570">
        <f t="shared" si="33"/>
        <v>0</v>
      </c>
      <c r="H570">
        <f t="shared" si="34"/>
        <v>0</v>
      </c>
      <c r="I570">
        <f t="shared" si="35"/>
        <v>0</v>
      </c>
      <c r="J570" t="s">
        <v>23</v>
      </c>
      <c r="K570" t="s">
        <v>552</v>
      </c>
      <c r="L570" t="s">
        <v>629</v>
      </c>
      <c r="M570" t="s">
        <v>669</v>
      </c>
    </row>
    <row r="571" spans="1:13" x14ac:dyDescent="0.35">
      <c r="A571">
        <v>2020</v>
      </c>
      <c r="B571" t="s">
        <v>22</v>
      </c>
      <c r="C571" t="s">
        <v>23</v>
      </c>
      <c r="D571" t="s">
        <v>24</v>
      </c>
      <c r="E571" t="s">
        <v>23</v>
      </c>
      <c r="F571">
        <f t="shared" si="32"/>
        <v>0</v>
      </c>
      <c r="G571">
        <f t="shared" si="33"/>
        <v>0</v>
      </c>
      <c r="H571">
        <f t="shared" si="34"/>
        <v>0</v>
      </c>
      <c r="I571">
        <f t="shared" si="35"/>
        <v>0</v>
      </c>
      <c r="J571" t="s">
        <v>23</v>
      </c>
      <c r="K571" t="s">
        <v>552</v>
      </c>
      <c r="L571" t="s">
        <v>629</v>
      </c>
      <c r="M571" t="s">
        <v>669</v>
      </c>
    </row>
    <row r="572" spans="1:13" x14ac:dyDescent="0.35">
      <c r="A572">
        <v>2019</v>
      </c>
      <c r="B572" t="s">
        <v>22</v>
      </c>
      <c r="C572" t="s">
        <v>23</v>
      </c>
      <c r="D572" t="s">
        <v>24</v>
      </c>
      <c r="E572" t="s">
        <v>23</v>
      </c>
      <c r="F572">
        <f t="shared" si="32"/>
        <v>0</v>
      </c>
      <c r="G572">
        <f t="shared" si="33"/>
        <v>0</v>
      </c>
      <c r="H572">
        <f t="shared" si="34"/>
        <v>0</v>
      </c>
      <c r="I572">
        <f t="shared" si="35"/>
        <v>0</v>
      </c>
      <c r="J572" t="s">
        <v>23</v>
      </c>
      <c r="K572" t="s">
        <v>552</v>
      </c>
      <c r="L572" t="s">
        <v>629</v>
      </c>
      <c r="M572" t="s">
        <v>669</v>
      </c>
    </row>
    <row r="573" spans="1:13" x14ac:dyDescent="0.35">
      <c r="A573">
        <v>2018</v>
      </c>
      <c r="B573" t="s">
        <v>22</v>
      </c>
      <c r="C573" t="s">
        <v>23</v>
      </c>
      <c r="D573" t="s">
        <v>24</v>
      </c>
      <c r="E573" t="s">
        <v>23</v>
      </c>
      <c r="F573">
        <f t="shared" si="32"/>
        <v>0</v>
      </c>
      <c r="G573">
        <f t="shared" si="33"/>
        <v>0</v>
      </c>
      <c r="H573">
        <f t="shared" si="34"/>
        <v>1</v>
      </c>
      <c r="I573">
        <f t="shared" si="35"/>
        <v>0</v>
      </c>
      <c r="J573" t="s">
        <v>23</v>
      </c>
      <c r="K573" t="s">
        <v>552</v>
      </c>
      <c r="L573" t="s">
        <v>629</v>
      </c>
      <c r="M573" t="s">
        <v>669</v>
      </c>
    </row>
    <row r="574" spans="1:13" x14ac:dyDescent="0.35">
      <c r="A574">
        <v>2017</v>
      </c>
      <c r="B574" t="s">
        <v>22</v>
      </c>
      <c r="C574" t="s">
        <v>23</v>
      </c>
      <c r="D574" t="s">
        <v>24</v>
      </c>
      <c r="E574" t="s">
        <v>25</v>
      </c>
      <c r="F574">
        <f t="shared" si="32"/>
        <v>0</v>
      </c>
      <c r="G574">
        <f t="shared" si="33"/>
        <v>0</v>
      </c>
      <c r="H574">
        <f t="shared" si="34"/>
        <v>0</v>
      </c>
      <c r="I574">
        <f t="shared" si="35"/>
        <v>0</v>
      </c>
      <c r="J574" t="s">
        <v>23</v>
      </c>
      <c r="K574" t="s">
        <v>552</v>
      </c>
      <c r="L574" t="s">
        <v>629</v>
      </c>
      <c r="M574" t="s">
        <v>669</v>
      </c>
    </row>
    <row r="575" spans="1:13" x14ac:dyDescent="0.35">
      <c r="A575">
        <v>2016</v>
      </c>
      <c r="B575" t="s">
        <v>22</v>
      </c>
      <c r="C575" t="s">
        <v>23</v>
      </c>
      <c r="D575" t="s">
        <v>24</v>
      </c>
      <c r="E575" t="s">
        <v>25</v>
      </c>
      <c r="F575">
        <f t="shared" si="32"/>
        <v>0</v>
      </c>
      <c r="G575">
        <f t="shared" si="33"/>
        <v>0</v>
      </c>
      <c r="H575">
        <f t="shared" si="34"/>
        <v>0</v>
      </c>
      <c r="I575">
        <f t="shared" si="35"/>
        <v>0</v>
      </c>
      <c r="J575" t="s">
        <v>23</v>
      </c>
      <c r="K575" t="s">
        <v>552</v>
      </c>
      <c r="L575" t="s">
        <v>629</v>
      </c>
      <c r="M575" t="s">
        <v>669</v>
      </c>
    </row>
    <row r="576" spans="1:13" x14ac:dyDescent="0.35">
      <c r="A576">
        <v>2015</v>
      </c>
      <c r="B576" t="s">
        <v>22</v>
      </c>
      <c r="C576" t="s">
        <v>23</v>
      </c>
      <c r="D576" t="s">
        <v>24</v>
      </c>
      <c r="E576" t="s">
        <v>25</v>
      </c>
      <c r="F576">
        <f t="shared" si="32"/>
        <v>0</v>
      </c>
      <c r="G576">
        <f t="shared" si="33"/>
        <v>0</v>
      </c>
      <c r="H576">
        <f t="shared" si="34"/>
        <v>0</v>
      </c>
      <c r="I576">
        <f t="shared" si="35"/>
        <v>0</v>
      </c>
      <c r="J576" t="s">
        <v>23</v>
      </c>
      <c r="K576" t="s">
        <v>552</v>
      </c>
      <c r="L576" t="s">
        <v>629</v>
      </c>
      <c r="M576" t="s">
        <v>669</v>
      </c>
    </row>
    <row r="577" spans="1:13" x14ac:dyDescent="0.35">
      <c r="A577">
        <v>2014</v>
      </c>
      <c r="B577" t="s">
        <v>22</v>
      </c>
      <c r="C577" t="s">
        <v>23</v>
      </c>
      <c r="D577" t="s">
        <v>24</v>
      </c>
      <c r="E577" t="s">
        <v>25</v>
      </c>
      <c r="F577">
        <f t="shared" si="32"/>
        <v>0</v>
      </c>
      <c r="G577">
        <f t="shared" si="33"/>
        <v>0</v>
      </c>
      <c r="H577">
        <f t="shared" si="34"/>
        <v>0</v>
      </c>
      <c r="I577">
        <f t="shared" si="35"/>
        <v>0</v>
      </c>
      <c r="J577" t="s">
        <v>23</v>
      </c>
      <c r="K577" t="s">
        <v>552</v>
      </c>
      <c r="L577" t="s">
        <v>629</v>
      </c>
      <c r="M577" t="s">
        <v>669</v>
      </c>
    </row>
    <row r="578" spans="1:13" x14ac:dyDescent="0.35">
      <c r="A578">
        <v>2013</v>
      </c>
      <c r="B578" t="s">
        <v>22</v>
      </c>
      <c r="C578" t="s">
        <v>23</v>
      </c>
      <c r="D578" t="s">
        <v>24</v>
      </c>
      <c r="E578" t="s">
        <v>25</v>
      </c>
      <c r="F578">
        <f t="shared" ref="F578:F641" si="36">IF(C578=C579,0,1)</f>
        <v>0</v>
      </c>
      <c r="G578">
        <f t="shared" ref="G578:G641" si="37">IF(D578=D579,0,1)</f>
        <v>0</v>
      </c>
      <c r="H578">
        <f t="shared" ref="H578:H641" si="38">IF(E578=E579,0,1)</f>
        <v>0</v>
      </c>
      <c r="I578">
        <f t="shared" ref="I578:I641" si="39">IF(J578=J579,0,1)</f>
        <v>0</v>
      </c>
      <c r="J578" t="s">
        <v>23</v>
      </c>
      <c r="K578" t="s">
        <v>552</v>
      </c>
      <c r="L578" t="s">
        <v>629</v>
      </c>
      <c r="M578" t="s">
        <v>669</v>
      </c>
    </row>
    <row r="579" spans="1:13" x14ac:dyDescent="0.35">
      <c r="A579">
        <v>2012</v>
      </c>
      <c r="B579" t="s">
        <v>22</v>
      </c>
      <c r="C579" t="s">
        <v>23</v>
      </c>
      <c r="D579" t="s">
        <v>24</v>
      </c>
      <c r="E579" t="s">
        <v>25</v>
      </c>
      <c r="F579">
        <f t="shared" si="36"/>
        <v>0</v>
      </c>
      <c r="G579">
        <f t="shared" si="37"/>
        <v>1</v>
      </c>
      <c r="H579">
        <f t="shared" si="38"/>
        <v>1</v>
      </c>
      <c r="I579">
        <f t="shared" si="39"/>
        <v>0</v>
      </c>
      <c r="J579" t="s">
        <v>23</v>
      </c>
      <c r="K579" t="s">
        <v>552</v>
      </c>
      <c r="L579" t="s">
        <v>629</v>
      </c>
      <c r="M579" t="s">
        <v>669</v>
      </c>
    </row>
    <row r="580" spans="1:13" x14ac:dyDescent="0.35">
      <c r="A580">
        <v>2011</v>
      </c>
      <c r="B580" t="s">
        <v>22</v>
      </c>
      <c r="C580" t="s">
        <v>23</v>
      </c>
      <c r="D580" t="s">
        <v>26</v>
      </c>
      <c r="E580" t="s">
        <v>23</v>
      </c>
      <c r="F580">
        <f t="shared" si="36"/>
        <v>0</v>
      </c>
      <c r="G580">
        <f t="shared" si="37"/>
        <v>0</v>
      </c>
      <c r="H580">
        <f t="shared" si="38"/>
        <v>0</v>
      </c>
      <c r="I580">
        <f t="shared" si="39"/>
        <v>0</v>
      </c>
      <c r="J580" t="s">
        <v>23</v>
      </c>
      <c r="K580" t="s">
        <v>552</v>
      </c>
      <c r="L580" t="s">
        <v>629</v>
      </c>
      <c r="M580" t="s">
        <v>669</v>
      </c>
    </row>
    <row r="581" spans="1:13" hidden="1" x14ac:dyDescent="0.35">
      <c r="A581">
        <v>2010</v>
      </c>
      <c r="B581" t="s">
        <v>22</v>
      </c>
      <c r="C581" t="s">
        <v>23</v>
      </c>
      <c r="D581" t="s">
        <v>26</v>
      </c>
      <c r="E581" t="s">
        <v>23</v>
      </c>
      <c r="F581">
        <f t="shared" si="36"/>
        <v>0</v>
      </c>
      <c r="G581">
        <f t="shared" si="37"/>
        <v>0</v>
      </c>
      <c r="H581">
        <f t="shared" si="38"/>
        <v>0</v>
      </c>
      <c r="I581">
        <f t="shared" si="39"/>
        <v>0</v>
      </c>
      <c r="J581" t="s">
        <v>23</v>
      </c>
      <c r="K581" t="s">
        <v>552</v>
      </c>
      <c r="L581" t="s">
        <v>629</v>
      </c>
      <c r="M581" t="s">
        <v>669</v>
      </c>
    </row>
    <row r="582" spans="1:13" hidden="1" x14ac:dyDescent="0.35">
      <c r="A582">
        <v>2009</v>
      </c>
      <c r="B582" t="s">
        <v>22</v>
      </c>
      <c r="C582" t="s">
        <v>23</v>
      </c>
      <c r="D582" t="s">
        <v>26</v>
      </c>
      <c r="E582" t="s">
        <v>23</v>
      </c>
      <c r="F582">
        <f t="shared" si="36"/>
        <v>0</v>
      </c>
      <c r="G582">
        <f t="shared" si="37"/>
        <v>1</v>
      </c>
      <c r="H582">
        <f t="shared" si="38"/>
        <v>0</v>
      </c>
      <c r="I582">
        <f t="shared" si="39"/>
        <v>0</v>
      </c>
      <c r="J582" t="s">
        <v>23</v>
      </c>
      <c r="K582" t="s">
        <v>552</v>
      </c>
      <c r="L582" t="s">
        <v>629</v>
      </c>
      <c r="M582" t="s">
        <v>669</v>
      </c>
    </row>
    <row r="583" spans="1:13" hidden="1" x14ac:dyDescent="0.35">
      <c r="A583">
        <v>2008</v>
      </c>
      <c r="B583" t="s">
        <v>22</v>
      </c>
      <c r="C583" t="s">
        <v>23</v>
      </c>
      <c r="D583" t="s">
        <v>24</v>
      </c>
      <c r="E583" t="s">
        <v>23</v>
      </c>
      <c r="F583">
        <f t="shared" si="36"/>
        <v>0</v>
      </c>
      <c r="G583">
        <f t="shared" si="37"/>
        <v>0</v>
      </c>
      <c r="H583">
        <f t="shared" si="38"/>
        <v>0</v>
      </c>
      <c r="I583">
        <f t="shared" si="39"/>
        <v>0</v>
      </c>
      <c r="J583" t="s">
        <v>23</v>
      </c>
      <c r="K583" t="s">
        <v>552</v>
      </c>
      <c r="L583" t="s">
        <v>629</v>
      </c>
      <c r="M583" t="s">
        <v>669</v>
      </c>
    </row>
    <row r="584" spans="1:13" hidden="1" x14ac:dyDescent="0.35">
      <c r="A584">
        <v>2007</v>
      </c>
      <c r="B584" t="s">
        <v>22</v>
      </c>
      <c r="C584" t="s">
        <v>23</v>
      </c>
      <c r="D584" t="s">
        <v>24</v>
      </c>
      <c r="E584" t="s">
        <v>23</v>
      </c>
      <c r="F584">
        <f t="shared" si="36"/>
        <v>0</v>
      </c>
      <c r="G584">
        <f t="shared" si="37"/>
        <v>0</v>
      </c>
      <c r="H584">
        <f t="shared" si="38"/>
        <v>0</v>
      </c>
      <c r="I584">
        <f t="shared" si="39"/>
        <v>0</v>
      </c>
      <c r="J584" t="s">
        <v>23</v>
      </c>
      <c r="K584" t="s">
        <v>552</v>
      </c>
      <c r="L584" t="s">
        <v>629</v>
      </c>
      <c r="M584" t="s">
        <v>669</v>
      </c>
    </row>
    <row r="585" spans="1:13" hidden="1" x14ac:dyDescent="0.35">
      <c r="A585">
        <v>2006</v>
      </c>
      <c r="B585" t="s">
        <v>22</v>
      </c>
      <c r="C585" t="s">
        <v>23</v>
      </c>
      <c r="D585" t="s">
        <v>24</v>
      </c>
      <c r="E585" t="s">
        <v>23</v>
      </c>
      <c r="F585">
        <f t="shared" si="36"/>
        <v>0</v>
      </c>
      <c r="G585">
        <f t="shared" si="37"/>
        <v>1</v>
      </c>
      <c r="H585">
        <f t="shared" si="38"/>
        <v>0</v>
      </c>
      <c r="I585">
        <f t="shared" si="39"/>
        <v>0</v>
      </c>
      <c r="J585" t="s">
        <v>23</v>
      </c>
      <c r="K585" t="s">
        <v>552</v>
      </c>
      <c r="L585" t="s">
        <v>629</v>
      </c>
      <c r="M585" t="s">
        <v>669</v>
      </c>
    </row>
    <row r="586" spans="1:13" hidden="1" x14ac:dyDescent="0.35">
      <c r="A586">
        <v>2005</v>
      </c>
      <c r="B586" t="s">
        <v>22</v>
      </c>
      <c r="C586" t="s">
        <v>23</v>
      </c>
      <c r="D586" t="s">
        <v>553</v>
      </c>
      <c r="E586" t="s">
        <v>23</v>
      </c>
      <c r="F586">
        <f t="shared" si="36"/>
        <v>0</v>
      </c>
      <c r="G586">
        <f t="shared" si="37"/>
        <v>0</v>
      </c>
      <c r="H586">
        <f t="shared" si="38"/>
        <v>0</v>
      </c>
      <c r="I586">
        <f t="shared" si="39"/>
        <v>0</v>
      </c>
      <c r="J586" t="s">
        <v>23</v>
      </c>
      <c r="K586" t="s">
        <v>552</v>
      </c>
      <c r="L586" t="s">
        <v>629</v>
      </c>
      <c r="M586" t="s">
        <v>669</v>
      </c>
    </row>
    <row r="587" spans="1:13" hidden="1" x14ac:dyDescent="0.35">
      <c r="A587">
        <v>2004</v>
      </c>
      <c r="B587" t="s">
        <v>22</v>
      </c>
      <c r="C587" t="s">
        <v>23</v>
      </c>
      <c r="D587" t="s">
        <v>553</v>
      </c>
      <c r="E587" t="s">
        <v>23</v>
      </c>
      <c r="F587">
        <f t="shared" si="36"/>
        <v>0</v>
      </c>
      <c r="G587">
        <f t="shared" si="37"/>
        <v>0</v>
      </c>
      <c r="H587">
        <f t="shared" si="38"/>
        <v>0</v>
      </c>
      <c r="I587">
        <f t="shared" si="39"/>
        <v>0</v>
      </c>
      <c r="J587" t="s">
        <v>23</v>
      </c>
      <c r="K587" t="s">
        <v>552</v>
      </c>
      <c r="L587" t="s">
        <v>629</v>
      </c>
      <c r="M587" t="s">
        <v>669</v>
      </c>
    </row>
    <row r="588" spans="1:13" hidden="1" x14ac:dyDescent="0.35">
      <c r="A588">
        <v>2003</v>
      </c>
      <c r="B588" t="s">
        <v>22</v>
      </c>
      <c r="C588" t="s">
        <v>23</v>
      </c>
      <c r="D588" t="s">
        <v>553</v>
      </c>
      <c r="E588" t="s">
        <v>23</v>
      </c>
      <c r="F588">
        <f t="shared" si="36"/>
        <v>0</v>
      </c>
      <c r="G588">
        <f t="shared" si="37"/>
        <v>0</v>
      </c>
      <c r="H588">
        <f t="shared" si="38"/>
        <v>0</v>
      </c>
      <c r="I588">
        <f t="shared" si="39"/>
        <v>0</v>
      </c>
      <c r="J588" t="s">
        <v>23</v>
      </c>
      <c r="K588" t="s">
        <v>552</v>
      </c>
      <c r="L588" t="s">
        <v>629</v>
      </c>
      <c r="M588" t="s">
        <v>669</v>
      </c>
    </row>
    <row r="589" spans="1:13" hidden="1" x14ac:dyDescent="0.35">
      <c r="A589">
        <v>2002</v>
      </c>
      <c r="B589" t="s">
        <v>22</v>
      </c>
      <c r="C589" t="s">
        <v>23</v>
      </c>
      <c r="D589" t="s">
        <v>553</v>
      </c>
      <c r="E589" t="s">
        <v>23</v>
      </c>
      <c r="F589">
        <f t="shared" si="36"/>
        <v>0</v>
      </c>
      <c r="G589">
        <f t="shared" si="37"/>
        <v>0</v>
      </c>
      <c r="H589">
        <f t="shared" si="38"/>
        <v>0</v>
      </c>
      <c r="I589">
        <f t="shared" si="39"/>
        <v>0</v>
      </c>
      <c r="J589" t="s">
        <v>23</v>
      </c>
      <c r="K589" t="s">
        <v>552</v>
      </c>
      <c r="L589" t="s">
        <v>629</v>
      </c>
      <c r="M589" t="s">
        <v>669</v>
      </c>
    </row>
    <row r="590" spans="1:13" hidden="1" x14ac:dyDescent="0.35">
      <c r="A590">
        <v>2001</v>
      </c>
      <c r="B590" t="s">
        <v>22</v>
      </c>
      <c r="C590" t="s">
        <v>23</v>
      </c>
      <c r="D590" t="s">
        <v>553</v>
      </c>
      <c r="E590" t="s">
        <v>23</v>
      </c>
      <c r="F590">
        <f t="shared" si="36"/>
        <v>0</v>
      </c>
      <c r="G590">
        <f t="shared" si="37"/>
        <v>0</v>
      </c>
      <c r="H590">
        <f t="shared" si="38"/>
        <v>0</v>
      </c>
      <c r="I590">
        <f t="shared" si="39"/>
        <v>0</v>
      </c>
      <c r="J590" t="s">
        <v>23</v>
      </c>
      <c r="K590" t="s">
        <v>552</v>
      </c>
      <c r="L590" t="s">
        <v>629</v>
      </c>
      <c r="M590" t="s">
        <v>669</v>
      </c>
    </row>
    <row r="591" spans="1:13" hidden="1" x14ac:dyDescent="0.35">
      <c r="A591">
        <v>2000</v>
      </c>
      <c r="B591" t="s">
        <v>22</v>
      </c>
      <c r="C591" t="s">
        <v>23</v>
      </c>
      <c r="D591" t="s">
        <v>553</v>
      </c>
      <c r="E591" t="s">
        <v>23</v>
      </c>
      <c r="F591">
        <f t="shared" si="36"/>
        <v>1</v>
      </c>
      <c r="G591">
        <f t="shared" si="37"/>
        <v>1</v>
      </c>
      <c r="H591">
        <f t="shared" si="38"/>
        <v>1</v>
      </c>
      <c r="I591">
        <f t="shared" si="39"/>
        <v>1</v>
      </c>
      <c r="J591" t="s">
        <v>23</v>
      </c>
      <c r="K591" t="s">
        <v>552</v>
      </c>
      <c r="L591" t="s">
        <v>629</v>
      </c>
      <c r="M591" t="s">
        <v>669</v>
      </c>
    </row>
    <row r="592" spans="1:13" hidden="1" x14ac:dyDescent="0.35">
      <c r="A592">
        <v>1999</v>
      </c>
      <c r="B592" t="s">
        <v>22</v>
      </c>
      <c r="C592" t="s">
        <v>224</v>
      </c>
      <c r="D592" t="s">
        <v>637</v>
      </c>
      <c r="E592" t="s">
        <v>554</v>
      </c>
      <c r="F592">
        <f t="shared" si="36"/>
        <v>1</v>
      </c>
      <c r="G592">
        <f t="shared" si="37"/>
        <v>1</v>
      </c>
      <c r="H592">
        <f t="shared" si="38"/>
        <v>1</v>
      </c>
      <c r="I592">
        <f t="shared" si="39"/>
        <v>1</v>
      </c>
      <c r="J592" t="s">
        <v>555</v>
      </c>
      <c r="K592" t="s">
        <v>552</v>
      </c>
      <c r="L592" t="s">
        <v>625</v>
      </c>
    </row>
    <row r="593" spans="1:13" x14ac:dyDescent="0.35">
      <c r="A593">
        <v>2025</v>
      </c>
      <c r="B593" t="s">
        <v>188</v>
      </c>
      <c r="C593" t="s">
        <v>195</v>
      </c>
      <c r="D593" t="s">
        <v>195</v>
      </c>
      <c r="E593" t="s">
        <v>233</v>
      </c>
      <c r="F593">
        <f t="shared" si="36"/>
        <v>1</v>
      </c>
      <c r="G593">
        <f t="shared" si="37"/>
        <v>1</v>
      </c>
      <c r="H593">
        <f t="shared" si="38"/>
        <v>1</v>
      </c>
      <c r="I593">
        <f t="shared" si="39"/>
        <v>0</v>
      </c>
      <c r="J593" t="s">
        <v>306</v>
      </c>
      <c r="K593" t="s">
        <v>556</v>
      </c>
      <c r="L593" t="s">
        <v>627</v>
      </c>
      <c r="M593" t="s">
        <v>671</v>
      </c>
    </row>
    <row r="594" spans="1:13" x14ac:dyDescent="0.35">
      <c r="A594">
        <v>2024</v>
      </c>
      <c r="B594" t="s">
        <v>188</v>
      </c>
      <c r="C594" t="s">
        <v>156</v>
      </c>
      <c r="D594" t="s">
        <v>544</v>
      </c>
      <c r="E594" t="s">
        <v>156</v>
      </c>
      <c r="F594">
        <f t="shared" si="36"/>
        <v>0</v>
      </c>
      <c r="G594">
        <f t="shared" si="37"/>
        <v>1</v>
      </c>
      <c r="H594">
        <f t="shared" si="38"/>
        <v>0</v>
      </c>
      <c r="I594">
        <f t="shared" si="39"/>
        <v>0</v>
      </c>
      <c r="J594" t="s">
        <v>306</v>
      </c>
      <c r="K594" t="s">
        <v>556</v>
      </c>
      <c r="L594" t="s">
        <v>627</v>
      </c>
      <c r="M594" t="s">
        <v>671</v>
      </c>
    </row>
    <row r="595" spans="1:13" x14ac:dyDescent="0.35">
      <c r="A595">
        <v>2023</v>
      </c>
      <c r="B595" t="s">
        <v>188</v>
      </c>
      <c r="C595" t="s">
        <v>156</v>
      </c>
      <c r="D595" t="s">
        <v>453</v>
      </c>
      <c r="E595" t="s">
        <v>156</v>
      </c>
      <c r="F595">
        <f t="shared" si="36"/>
        <v>0</v>
      </c>
      <c r="G595">
        <f t="shared" si="37"/>
        <v>0</v>
      </c>
      <c r="H595">
        <f t="shared" si="38"/>
        <v>0</v>
      </c>
      <c r="I595">
        <f t="shared" si="39"/>
        <v>0</v>
      </c>
      <c r="J595" t="s">
        <v>306</v>
      </c>
      <c r="K595" t="s">
        <v>556</v>
      </c>
      <c r="L595" t="s">
        <v>623</v>
      </c>
      <c r="M595" t="s">
        <v>671</v>
      </c>
    </row>
    <row r="596" spans="1:13" x14ac:dyDescent="0.35">
      <c r="A596">
        <v>2022</v>
      </c>
      <c r="B596" t="s">
        <v>188</v>
      </c>
      <c r="C596" t="s">
        <v>156</v>
      </c>
      <c r="D596" t="s">
        <v>453</v>
      </c>
      <c r="E596" t="s">
        <v>156</v>
      </c>
      <c r="F596">
        <f t="shared" si="36"/>
        <v>1</v>
      </c>
      <c r="G596">
        <f t="shared" si="37"/>
        <v>1</v>
      </c>
      <c r="H596">
        <f t="shared" si="38"/>
        <v>0</v>
      </c>
      <c r="I596">
        <f t="shared" si="39"/>
        <v>0</v>
      </c>
      <c r="J596" t="s">
        <v>306</v>
      </c>
      <c r="K596" t="s">
        <v>556</v>
      </c>
      <c r="L596" t="s">
        <v>623</v>
      </c>
      <c r="M596" t="s">
        <v>671</v>
      </c>
    </row>
    <row r="597" spans="1:13" x14ac:dyDescent="0.35">
      <c r="A597">
        <v>2021</v>
      </c>
      <c r="B597" t="s">
        <v>188</v>
      </c>
      <c r="C597" t="s">
        <v>246</v>
      </c>
      <c r="D597" t="s">
        <v>246</v>
      </c>
      <c r="E597" t="s">
        <v>156</v>
      </c>
      <c r="F597">
        <f t="shared" si="36"/>
        <v>0</v>
      </c>
      <c r="G597">
        <f t="shared" si="37"/>
        <v>0</v>
      </c>
      <c r="H597">
        <f t="shared" si="38"/>
        <v>0</v>
      </c>
      <c r="I597">
        <f t="shared" si="39"/>
        <v>0</v>
      </c>
      <c r="J597" t="s">
        <v>306</v>
      </c>
      <c r="K597" t="s">
        <v>556</v>
      </c>
      <c r="L597" t="s">
        <v>623</v>
      </c>
      <c r="M597" t="s">
        <v>671</v>
      </c>
    </row>
    <row r="598" spans="1:13" x14ac:dyDescent="0.35">
      <c r="A598">
        <v>2020</v>
      </c>
      <c r="B598" t="s">
        <v>188</v>
      </c>
      <c r="C598" t="s">
        <v>246</v>
      </c>
      <c r="D598" t="s">
        <v>246</v>
      </c>
      <c r="E598" t="s">
        <v>156</v>
      </c>
      <c r="F598">
        <f t="shared" si="36"/>
        <v>0</v>
      </c>
      <c r="G598">
        <f t="shared" si="37"/>
        <v>0</v>
      </c>
      <c r="H598">
        <f t="shared" si="38"/>
        <v>0</v>
      </c>
      <c r="I598">
        <f t="shared" si="39"/>
        <v>0</v>
      </c>
      <c r="J598" t="s">
        <v>306</v>
      </c>
      <c r="K598" t="s">
        <v>556</v>
      </c>
      <c r="L598" t="s">
        <v>623</v>
      </c>
      <c r="M598" t="s">
        <v>671</v>
      </c>
    </row>
    <row r="599" spans="1:13" x14ac:dyDescent="0.35">
      <c r="A599">
        <v>2019</v>
      </c>
      <c r="B599" t="s">
        <v>188</v>
      </c>
      <c r="C599" t="s">
        <v>246</v>
      </c>
      <c r="D599" t="s">
        <v>246</v>
      </c>
      <c r="E599" t="s">
        <v>156</v>
      </c>
      <c r="F599">
        <f t="shared" si="36"/>
        <v>0</v>
      </c>
      <c r="G599">
        <f t="shared" si="37"/>
        <v>0</v>
      </c>
      <c r="H599">
        <f t="shared" si="38"/>
        <v>0</v>
      </c>
      <c r="I599">
        <f t="shared" si="39"/>
        <v>0</v>
      </c>
      <c r="J599" t="s">
        <v>306</v>
      </c>
      <c r="K599" t="s">
        <v>556</v>
      </c>
      <c r="L599" t="s">
        <v>623</v>
      </c>
      <c r="M599" t="s">
        <v>671</v>
      </c>
    </row>
    <row r="600" spans="1:13" x14ac:dyDescent="0.35">
      <c r="A600">
        <v>2018</v>
      </c>
      <c r="B600" t="s">
        <v>188</v>
      </c>
      <c r="C600" t="s">
        <v>246</v>
      </c>
      <c r="D600" t="s">
        <v>246</v>
      </c>
      <c r="E600" t="s">
        <v>156</v>
      </c>
      <c r="F600">
        <f t="shared" si="36"/>
        <v>0</v>
      </c>
      <c r="G600">
        <f t="shared" si="37"/>
        <v>0</v>
      </c>
      <c r="H600">
        <f t="shared" si="38"/>
        <v>0</v>
      </c>
      <c r="I600">
        <f t="shared" si="39"/>
        <v>0</v>
      </c>
      <c r="J600" t="s">
        <v>306</v>
      </c>
      <c r="K600" t="s">
        <v>556</v>
      </c>
      <c r="L600" t="s">
        <v>623</v>
      </c>
      <c r="M600" t="s">
        <v>671</v>
      </c>
    </row>
    <row r="601" spans="1:13" x14ac:dyDescent="0.35">
      <c r="A601">
        <v>2017</v>
      </c>
      <c r="B601" t="s">
        <v>188</v>
      </c>
      <c r="C601" t="s">
        <v>246</v>
      </c>
      <c r="D601" t="s">
        <v>246</v>
      </c>
      <c r="E601" t="s">
        <v>156</v>
      </c>
      <c r="F601">
        <f t="shared" si="36"/>
        <v>0</v>
      </c>
      <c r="G601">
        <f t="shared" si="37"/>
        <v>0</v>
      </c>
      <c r="H601">
        <f t="shared" si="38"/>
        <v>0</v>
      </c>
      <c r="I601">
        <f t="shared" si="39"/>
        <v>0</v>
      </c>
      <c r="J601" t="s">
        <v>306</v>
      </c>
      <c r="K601" t="s">
        <v>557</v>
      </c>
      <c r="L601" t="s">
        <v>623</v>
      </c>
      <c r="M601" t="s">
        <v>671</v>
      </c>
    </row>
    <row r="602" spans="1:13" x14ac:dyDescent="0.35">
      <c r="A602">
        <v>2016</v>
      </c>
      <c r="B602" t="s">
        <v>188</v>
      </c>
      <c r="C602" t="s">
        <v>246</v>
      </c>
      <c r="D602" t="s">
        <v>246</v>
      </c>
      <c r="E602" t="s">
        <v>156</v>
      </c>
      <c r="F602">
        <f t="shared" si="36"/>
        <v>0</v>
      </c>
      <c r="G602">
        <f t="shared" si="37"/>
        <v>0</v>
      </c>
      <c r="H602">
        <f t="shared" si="38"/>
        <v>1</v>
      </c>
      <c r="I602">
        <f t="shared" si="39"/>
        <v>0</v>
      </c>
      <c r="J602" t="s">
        <v>306</v>
      </c>
      <c r="K602" t="s">
        <v>557</v>
      </c>
      <c r="L602" t="s">
        <v>623</v>
      </c>
      <c r="M602" t="s">
        <v>671</v>
      </c>
    </row>
    <row r="603" spans="1:13" x14ac:dyDescent="0.35">
      <c r="A603">
        <v>2015</v>
      </c>
      <c r="B603" t="s">
        <v>188</v>
      </c>
      <c r="C603" t="s">
        <v>246</v>
      </c>
      <c r="D603" t="s">
        <v>246</v>
      </c>
      <c r="E603" t="s">
        <v>119</v>
      </c>
      <c r="F603">
        <f t="shared" si="36"/>
        <v>0</v>
      </c>
      <c r="G603">
        <f t="shared" si="37"/>
        <v>0</v>
      </c>
      <c r="H603">
        <f t="shared" si="38"/>
        <v>0</v>
      </c>
      <c r="I603">
        <f t="shared" si="39"/>
        <v>0</v>
      </c>
      <c r="J603" t="s">
        <v>306</v>
      </c>
      <c r="K603" t="s">
        <v>557</v>
      </c>
      <c r="L603" t="s">
        <v>623</v>
      </c>
      <c r="M603" t="s">
        <v>670</v>
      </c>
    </row>
    <row r="604" spans="1:13" x14ac:dyDescent="0.35">
      <c r="A604">
        <v>2014</v>
      </c>
      <c r="B604" t="s">
        <v>188</v>
      </c>
      <c r="C604" t="s">
        <v>246</v>
      </c>
      <c r="D604" t="s">
        <v>246</v>
      </c>
      <c r="E604" t="s">
        <v>119</v>
      </c>
      <c r="F604">
        <f t="shared" si="36"/>
        <v>0</v>
      </c>
      <c r="G604">
        <f t="shared" si="37"/>
        <v>0</v>
      </c>
      <c r="H604">
        <f t="shared" si="38"/>
        <v>0</v>
      </c>
      <c r="I604">
        <f t="shared" si="39"/>
        <v>0</v>
      </c>
      <c r="J604" t="s">
        <v>306</v>
      </c>
      <c r="K604" t="s">
        <v>557</v>
      </c>
      <c r="L604" t="s">
        <v>623</v>
      </c>
      <c r="M604" t="s">
        <v>670</v>
      </c>
    </row>
    <row r="605" spans="1:13" x14ac:dyDescent="0.35">
      <c r="A605">
        <v>2013</v>
      </c>
      <c r="B605" t="s">
        <v>188</v>
      </c>
      <c r="C605" t="s">
        <v>246</v>
      </c>
      <c r="D605" t="s">
        <v>246</v>
      </c>
      <c r="E605" t="s">
        <v>119</v>
      </c>
      <c r="F605">
        <f t="shared" si="36"/>
        <v>1</v>
      </c>
      <c r="G605">
        <f t="shared" si="37"/>
        <v>0</v>
      </c>
      <c r="H605">
        <f t="shared" si="38"/>
        <v>1</v>
      </c>
      <c r="I605">
        <f t="shared" si="39"/>
        <v>0</v>
      </c>
      <c r="J605" t="s">
        <v>306</v>
      </c>
      <c r="K605" t="s">
        <v>557</v>
      </c>
      <c r="L605" t="s">
        <v>623</v>
      </c>
      <c r="M605" t="s">
        <v>670</v>
      </c>
    </row>
    <row r="606" spans="1:13" x14ac:dyDescent="0.35">
      <c r="A606">
        <v>2012</v>
      </c>
      <c r="B606" t="s">
        <v>188</v>
      </c>
      <c r="C606" t="s">
        <v>219</v>
      </c>
      <c r="D606" t="s">
        <v>246</v>
      </c>
      <c r="E606" t="s">
        <v>149</v>
      </c>
      <c r="F606">
        <f t="shared" si="36"/>
        <v>1</v>
      </c>
      <c r="G606">
        <f t="shared" si="37"/>
        <v>0</v>
      </c>
      <c r="H606">
        <f t="shared" si="38"/>
        <v>1</v>
      </c>
      <c r="I606">
        <f t="shared" si="39"/>
        <v>0</v>
      </c>
      <c r="J606" t="s">
        <v>306</v>
      </c>
      <c r="K606" t="s">
        <v>557</v>
      </c>
      <c r="L606" t="s">
        <v>623</v>
      </c>
      <c r="M606" t="s">
        <v>674</v>
      </c>
    </row>
    <row r="607" spans="1:13" x14ac:dyDescent="0.35">
      <c r="A607">
        <v>2011</v>
      </c>
      <c r="B607" t="s">
        <v>188</v>
      </c>
      <c r="C607" t="s">
        <v>246</v>
      </c>
      <c r="D607" t="s">
        <v>246</v>
      </c>
      <c r="E607" t="s">
        <v>50</v>
      </c>
      <c r="F607">
        <f t="shared" si="36"/>
        <v>0</v>
      </c>
      <c r="G607">
        <f t="shared" si="37"/>
        <v>0</v>
      </c>
      <c r="H607">
        <f t="shared" si="38"/>
        <v>0</v>
      </c>
      <c r="I607">
        <f t="shared" si="39"/>
        <v>0</v>
      </c>
      <c r="J607" t="s">
        <v>306</v>
      </c>
      <c r="K607" t="s">
        <v>557</v>
      </c>
      <c r="L607" t="s">
        <v>623</v>
      </c>
      <c r="M607" t="s">
        <v>669</v>
      </c>
    </row>
    <row r="608" spans="1:13" hidden="1" x14ac:dyDescent="0.35">
      <c r="A608">
        <v>2010</v>
      </c>
      <c r="B608" t="s">
        <v>188</v>
      </c>
      <c r="C608" t="s">
        <v>246</v>
      </c>
      <c r="D608" t="s">
        <v>246</v>
      </c>
      <c r="E608" t="s">
        <v>50</v>
      </c>
      <c r="F608">
        <f t="shared" si="36"/>
        <v>0</v>
      </c>
      <c r="G608">
        <f t="shared" si="37"/>
        <v>0</v>
      </c>
      <c r="H608">
        <f t="shared" si="38"/>
        <v>0</v>
      </c>
      <c r="I608">
        <f t="shared" si="39"/>
        <v>0</v>
      </c>
      <c r="J608" t="s">
        <v>306</v>
      </c>
      <c r="K608" t="s">
        <v>557</v>
      </c>
      <c r="L608" t="s">
        <v>623</v>
      </c>
      <c r="M608" t="s">
        <v>669</v>
      </c>
    </row>
    <row r="609" spans="1:13" hidden="1" x14ac:dyDescent="0.35">
      <c r="A609">
        <v>2009</v>
      </c>
      <c r="B609" t="s">
        <v>188</v>
      </c>
      <c r="C609" t="s">
        <v>246</v>
      </c>
      <c r="D609" t="s">
        <v>246</v>
      </c>
      <c r="E609" t="s">
        <v>50</v>
      </c>
      <c r="F609">
        <f t="shared" si="36"/>
        <v>0</v>
      </c>
      <c r="G609">
        <f t="shared" si="37"/>
        <v>0</v>
      </c>
      <c r="H609">
        <f t="shared" si="38"/>
        <v>1</v>
      </c>
      <c r="I609">
        <f t="shared" si="39"/>
        <v>0</v>
      </c>
      <c r="J609" t="s">
        <v>306</v>
      </c>
      <c r="K609" t="s">
        <v>557</v>
      </c>
      <c r="L609" t="s">
        <v>623</v>
      </c>
    </row>
    <row r="610" spans="1:13" hidden="1" x14ac:dyDescent="0.35">
      <c r="A610">
        <v>2008</v>
      </c>
      <c r="B610" t="s">
        <v>188</v>
      </c>
      <c r="C610" t="s">
        <v>246</v>
      </c>
      <c r="D610" t="s">
        <v>246</v>
      </c>
      <c r="E610" t="s">
        <v>558</v>
      </c>
      <c r="F610">
        <f t="shared" si="36"/>
        <v>0</v>
      </c>
      <c r="G610">
        <f t="shared" si="37"/>
        <v>0</v>
      </c>
      <c r="H610">
        <f t="shared" si="38"/>
        <v>0</v>
      </c>
      <c r="I610">
        <f t="shared" si="39"/>
        <v>0</v>
      </c>
      <c r="J610" t="s">
        <v>306</v>
      </c>
      <c r="K610" t="s">
        <v>557</v>
      </c>
      <c r="L610" t="s">
        <v>623</v>
      </c>
    </row>
    <row r="611" spans="1:13" hidden="1" x14ac:dyDescent="0.35">
      <c r="A611">
        <v>2007</v>
      </c>
      <c r="B611" t="s">
        <v>188</v>
      </c>
      <c r="C611" t="s">
        <v>246</v>
      </c>
      <c r="D611" t="s">
        <v>246</v>
      </c>
      <c r="E611" t="s">
        <v>558</v>
      </c>
      <c r="F611">
        <f t="shared" si="36"/>
        <v>0</v>
      </c>
      <c r="G611">
        <f t="shared" si="37"/>
        <v>0</v>
      </c>
      <c r="H611">
        <f t="shared" si="38"/>
        <v>0</v>
      </c>
      <c r="I611">
        <f t="shared" si="39"/>
        <v>0</v>
      </c>
      <c r="J611" t="s">
        <v>306</v>
      </c>
      <c r="K611" t="s">
        <v>557</v>
      </c>
      <c r="L611" t="s">
        <v>623</v>
      </c>
    </row>
    <row r="612" spans="1:13" hidden="1" x14ac:dyDescent="0.35">
      <c r="A612">
        <v>2006</v>
      </c>
      <c r="B612" t="s">
        <v>188</v>
      </c>
      <c r="C612" t="s">
        <v>246</v>
      </c>
      <c r="D612" t="s">
        <v>246</v>
      </c>
      <c r="E612" t="s">
        <v>558</v>
      </c>
      <c r="F612">
        <f t="shared" si="36"/>
        <v>1</v>
      </c>
      <c r="G612">
        <f t="shared" si="37"/>
        <v>1</v>
      </c>
      <c r="H612">
        <f t="shared" si="38"/>
        <v>1</v>
      </c>
      <c r="I612">
        <f t="shared" si="39"/>
        <v>0</v>
      </c>
      <c r="J612" t="s">
        <v>306</v>
      </c>
      <c r="K612" t="s">
        <v>557</v>
      </c>
      <c r="L612" t="s">
        <v>623</v>
      </c>
    </row>
    <row r="613" spans="1:13" hidden="1" x14ac:dyDescent="0.35">
      <c r="A613">
        <v>2005</v>
      </c>
      <c r="B613" t="s">
        <v>188</v>
      </c>
      <c r="C613" t="s">
        <v>215</v>
      </c>
      <c r="D613" t="s">
        <v>420</v>
      </c>
      <c r="E613" t="s">
        <v>559</v>
      </c>
      <c r="F613">
        <f t="shared" si="36"/>
        <v>0</v>
      </c>
      <c r="G613">
        <f t="shared" si="37"/>
        <v>1</v>
      </c>
      <c r="H613">
        <f t="shared" si="38"/>
        <v>0</v>
      </c>
      <c r="I613">
        <f t="shared" si="39"/>
        <v>0</v>
      </c>
      <c r="J613" t="s">
        <v>306</v>
      </c>
      <c r="K613" t="s">
        <v>557</v>
      </c>
    </row>
    <row r="614" spans="1:13" hidden="1" x14ac:dyDescent="0.35">
      <c r="A614">
        <v>2004</v>
      </c>
      <c r="B614" t="s">
        <v>188</v>
      </c>
      <c r="C614" t="s">
        <v>215</v>
      </c>
      <c r="D614" t="s">
        <v>194</v>
      </c>
      <c r="E614" t="s">
        <v>559</v>
      </c>
      <c r="F614">
        <f t="shared" si="36"/>
        <v>0</v>
      </c>
      <c r="G614">
        <f t="shared" si="37"/>
        <v>0</v>
      </c>
      <c r="H614">
        <f t="shared" si="38"/>
        <v>0</v>
      </c>
      <c r="I614">
        <f t="shared" si="39"/>
        <v>0</v>
      </c>
      <c r="J614" t="s">
        <v>306</v>
      </c>
      <c r="K614" t="s">
        <v>557</v>
      </c>
      <c r="L614" t="s">
        <v>621</v>
      </c>
    </row>
    <row r="615" spans="1:13" hidden="1" x14ac:dyDescent="0.35">
      <c r="A615">
        <v>2003</v>
      </c>
      <c r="B615" t="s">
        <v>188</v>
      </c>
      <c r="C615" t="s">
        <v>215</v>
      </c>
      <c r="D615" t="s">
        <v>194</v>
      </c>
      <c r="E615" t="s">
        <v>559</v>
      </c>
      <c r="F615">
        <f t="shared" si="36"/>
        <v>0</v>
      </c>
      <c r="G615">
        <f t="shared" si="37"/>
        <v>0</v>
      </c>
      <c r="H615">
        <f t="shared" si="38"/>
        <v>0</v>
      </c>
      <c r="I615">
        <f t="shared" si="39"/>
        <v>0</v>
      </c>
      <c r="J615" t="s">
        <v>306</v>
      </c>
      <c r="K615" t="s">
        <v>557</v>
      </c>
      <c r="L615" t="s">
        <v>621</v>
      </c>
    </row>
    <row r="616" spans="1:13" hidden="1" x14ac:dyDescent="0.35">
      <c r="A616">
        <v>2002</v>
      </c>
      <c r="B616" t="s">
        <v>188</v>
      </c>
      <c r="C616" t="s">
        <v>215</v>
      </c>
      <c r="D616" t="s">
        <v>194</v>
      </c>
      <c r="E616" t="s">
        <v>559</v>
      </c>
      <c r="F616">
        <f t="shared" si="36"/>
        <v>0</v>
      </c>
      <c r="G616">
        <f t="shared" si="37"/>
        <v>0</v>
      </c>
      <c r="H616">
        <f t="shared" si="38"/>
        <v>1</v>
      </c>
      <c r="I616">
        <f t="shared" si="39"/>
        <v>1</v>
      </c>
      <c r="J616" t="s">
        <v>306</v>
      </c>
      <c r="K616" t="s">
        <v>557</v>
      </c>
      <c r="L616" t="s">
        <v>621</v>
      </c>
    </row>
    <row r="617" spans="1:13" hidden="1" x14ac:dyDescent="0.35">
      <c r="A617">
        <v>2001</v>
      </c>
      <c r="B617" t="s">
        <v>188</v>
      </c>
      <c r="C617" t="s">
        <v>215</v>
      </c>
      <c r="D617" t="s">
        <v>194</v>
      </c>
      <c r="E617" t="s">
        <v>560</v>
      </c>
      <c r="F617">
        <f t="shared" si="36"/>
        <v>0</v>
      </c>
      <c r="G617">
        <f t="shared" si="37"/>
        <v>0</v>
      </c>
      <c r="H617">
        <f t="shared" si="38"/>
        <v>0</v>
      </c>
      <c r="I617">
        <f t="shared" si="39"/>
        <v>0</v>
      </c>
      <c r="J617" t="s">
        <v>538</v>
      </c>
      <c r="K617" t="s">
        <v>557</v>
      </c>
      <c r="L617" t="s">
        <v>621</v>
      </c>
    </row>
    <row r="618" spans="1:13" hidden="1" x14ac:dyDescent="0.35">
      <c r="A618">
        <v>2000</v>
      </c>
      <c r="B618" t="s">
        <v>188</v>
      </c>
      <c r="C618" t="s">
        <v>215</v>
      </c>
      <c r="D618" t="s">
        <v>194</v>
      </c>
      <c r="E618" t="s">
        <v>560</v>
      </c>
      <c r="F618">
        <f t="shared" si="36"/>
        <v>1</v>
      </c>
      <c r="G618">
        <f t="shared" si="37"/>
        <v>1</v>
      </c>
      <c r="H618">
        <f t="shared" si="38"/>
        <v>1</v>
      </c>
      <c r="I618">
        <f t="shared" si="39"/>
        <v>1</v>
      </c>
      <c r="J618" t="s">
        <v>538</v>
      </c>
      <c r="K618" t="s">
        <v>557</v>
      </c>
      <c r="L618" t="s">
        <v>621</v>
      </c>
    </row>
    <row r="619" spans="1:13" hidden="1" x14ac:dyDescent="0.35">
      <c r="A619">
        <v>1999</v>
      </c>
      <c r="B619" t="s">
        <v>188</v>
      </c>
      <c r="C619" t="s">
        <v>561</v>
      </c>
      <c r="D619" t="s">
        <v>562</v>
      </c>
      <c r="E619" t="s">
        <v>563</v>
      </c>
      <c r="F619">
        <f t="shared" si="36"/>
        <v>1</v>
      </c>
      <c r="G619">
        <f t="shared" si="37"/>
        <v>1</v>
      </c>
      <c r="H619">
        <f t="shared" si="38"/>
        <v>1</v>
      </c>
      <c r="I619">
        <f t="shared" si="39"/>
        <v>1</v>
      </c>
      <c r="J619" t="s">
        <v>564</v>
      </c>
      <c r="K619" t="s">
        <v>557</v>
      </c>
      <c r="L619" t="s">
        <v>633</v>
      </c>
    </row>
    <row r="620" spans="1:13" x14ac:dyDescent="0.35">
      <c r="A620">
        <v>2025</v>
      </c>
      <c r="B620" t="s">
        <v>179</v>
      </c>
      <c r="C620" t="s">
        <v>9</v>
      </c>
      <c r="D620" t="s">
        <v>9</v>
      </c>
      <c r="E620" t="s">
        <v>606</v>
      </c>
      <c r="F620">
        <f t="shared" si="36"/>
        <v>0</v>
      </c>
      <c r="G620">
        <f t="shared" si="37"/>
        <v>0</v>
      </c>
      <c r="H620">
        <f t="shared" si="38"/>
        <v>0</v>
      </c>
      <c r="I620">
        <f t="shared" si="39"/>
        <v>0</v>
      </c>
      <c r="J620" t="s">
        <v>653</v>
      </c>
      <c r="K620" t="s">
        <v>565</v>
      </c>
      <c r="L620" t="s">
        <v>629</v>
      </c>
      <c r="M620" t="s">
        <v>669</v>
      </c>
    </row>
    <row r="621" spans="1:13" x14ac:dyDescent="0.35">
      <c r="A621">
        <v>2024</v>
      </c>
      <c r="B621" t="s">
        <v>179</v>
      </c>
      <c r="C621" t="s">
        <v>9</v>
      </c>
      <c r="D621" t="s">
        <v>9</v>
      </c>
      <c r="E621" t="s">
        <v>606</v>
      </c>
      <c r="F621">
        <f t="shared" si="36"/>
        <v>0</v>
      </c>
      <c r="G621">
        <f t="shared" si="37"/>
        <v>0</v>
      </c>
      <c r="H621">
        <f t="shared" si="38"/>
        <v>1</v>
      </c>
      <c r="I621">
        <f t="shared" si="39"/>
        <v>0</v>
      </c>
      <c r="J621" t="s">
        <v>653</v>
      </c>
      <c r="K621" t="s">
        <v>565</v>
      </c>
      <c r="L621" t="s">
        <v>629</v>
      </c>
      <c r="M621" t="s">
        <v>669</v>
      </c>
    </row>
    <row r="622" spans="1:13" x14ac:dyDescent="0.35">
      <c r="A622">
        <v>2023</v>
      </c>
      <c r="B622" t="s">
        <v>179</v>
      </c>
      <c r="C622" t="s">
        <v>9</v>
      </c>
      <c r="D622" t="s">
        <v>9</v>
      </c>
      <c r="E622" t="s">
        <v>133</v>
      </c>
      <c r="F622">
        <f t="shared" si="36"/>
        <v>0</v>
      </c>
      <c r="G622">
        <f t="shared" si="37"/>
        <v>0</v>
      </c>
      <c r="H622">
        <f t="shared" si="38"/>
        <v>0</v>
      </c>
      <c r="I622">
        <f t="shared" si="39"/>
        <v>0</v>
      </c>
      <c r="J622" t="s">
        <v>653</v>
      </c>
      <c r="K622" t="s">
        <v>565</v>
      </c>
      <c r="L622" t="s">
        <v>629</v>
      </c>
      <c r="M622" t="s">
        <v>669</v>
      </c>
    </row>
    <row r="623" spans="1:13" x14ac:dyDescent="0.35">
      <c r="A623">
        <v>2022</v>
      </c>
      <c r="B623" t="s">
        <v>179</v>
      </c>
      <c r="C623" t="s">
        <v>9</v>
      </c>
      <c r="D623" t="s">
        <v>9</v>
      </c>
      <c r="E623" t="s">
        <v>133</v>
      </c>
      <c r="F623">
        <f t="shared" si="36"/>
        <v>1</v>
      </c>
      <c r="G623">
        <f t="shared" si="37"/>
        <v>1</v>
      </c>
      <c r="H623">
        <f t="shared" si="38"/>
        <v>1</v>
      </c>
      <c r="I623">
        <f t="shared" si="39"/>
        <v>1</v>
      </c>
      <c r="J623" t="s">
        <v>653</v>
      </c>
      <c r="K623" t="s">
        <v>565</v>
      </c>
      <c r="L623" t="s">
        <v>629</v>
      </c>
      <c r="M623" t="s">
        <v>669</v>
      </c>
    </row>
    <row r="624" spans="1:13" x14ac:dyDescent="0.35">
      <c r="A624">
        <v>2021</v>
      </c>
      <c r="B624" t="s">
        <v>179</v>
      </c>
      <c r="C624" t="s">
        <v>202</v>
      </c>
      <c r="D624" t="s">
        <v>196</v>
      </c>
      <c r="E624" t="s">
        <v>37</v>
      </c>
      <c r="F624">
        <f t="shared" si="36"/>
        <v>0</v>
      </c>
      <c r="G624">
        <f t="shared" si="37"/>
        <v>0</v>
      </c>
      <c r="H624">
        <f t="shared" si="38"/>
        <v>0</v>
      </c>
      <c r="I624">
        <f t="shared" si="39"/>
        <v>0</v>
      </c>
      <c r="J624" t="s">
        <v>285</v>
      </c>
      <c r="K624" t="s">
        <v>565</v>
      </c>
      <c r="L624" t="s">
        <v>623</v>
      </c>
      <c r="M624" t="s">
        <v>665</v>
      </c>
    </row>
    <row r="625" spans="1:13" x14ac:dyDescent="0.35">
      <c r="A625">
        <v>2020</v>
      </c>
      <c r="B625" t="s">
        <v>179</v>
      </c>
      <c r="C625" t="s">
        <v>202</v>
      </c>
      <c r="D625" t="s">
        <v>196</v>
      </c>
      <c r="E625" t="s">
        <v>37</v>
      </c>
      <c r="F625">
        <f t="shared" si="36"/>
        <v>1</v>
      </c>
      <c r="G625">
        <f t="shared" si="37"/>
        <v>1</v>
      </c>
      <c r="H625">
        <f t="shared" si="38"/>
        <v>1</v>
      </c>
      <c r="I625">
        <f t="shared" si="39"/>
        <v>0</v>
      </c>
      <c r="J625" t="s">
        <v>285</v>
      </c>
      <c r="K625" t="s">
        <v>565</v>
      </c>
      <c r="L625" t="s">
        <v>623</v>
      </c>
      <c r="M625" t="s">
        <v>665</v>
      </c>
    </row>
    <row r="626" spans="1:13" x14ac:dyDescent="0.35">
      <c r="A626">
        <v>2019</v>
      </c>
      <c r="B626" t="s">
        <v>179</v>
      </c>
      <c r="C626" t="s">
        <v>115</v>
      </c>
      <c r="D626" t="s">
        <v>203</v>
      </c>
      <c r="E626" t="s">
        <v>204</v>
      </c>
      <c r="F626">
        <f t="shared" si="36"/>
        <v>0</v>
      </c>
      <c r="G626">
        <f t="shared" si="37"/>
        <v>0</v>
      </c>
      <c r="H626">
        <f t="shared" si="38"/>
        <v>0</v>
      </c>
      <c r="I626">
        <f t="shared" si="39"/>
        <v>0</v>
      </c>
      <c r="J626" t="s">
        <v>285</v>
      </c>
      <c r="K626" t="s">
        <v>565</v>
      </c>
      <c r="L626" t="s">
        <v>631</v>
      </c>
      <c r="M626" t="s">
        <v>674</v>
      </c>
    </row>
    <row r="627" spans="1:13" x14ac:dyDescent="0.35">
      <c r="A627">
        <v>2018</v>
      </c>
      <c r="B627" t="s">
        <v>179</v>
      </c>
      <c r="C627" t="s">
        <v>115</v>
      </c>
      <c r="D627" t="s">
        <v>203</v>
      </c>
      <c r="E627" t="s">
        <v>204</v>
      </c>
      <c r="F627">
        <f t="shared" si="36"/>
        <v>1</v>
      </c>
      <c r="G627">
        <f t="shared" si="37"/>
        <v>1</v>
      </c>
      <c r="H627">
        <f t="shared" si="38"/>
        <v>1</v>
      </c>
      <c r="I627">
        <f t="shared" si="39"/>
        <v>1</v>
      </c>
      <c r="J627" t="s">
        <v>285</v>
      </c>
      <c r="K627" t="s">
        <v>565</v>
      </c>
      <c r="L627" t="s">
        <v>631</v>
      </c>
      <c r="M627" t="s">
        <v>674</v>
      </c>
    </row>
    <row r="628" spans="1:13" x14ac:dyDescent="0.35">
      <c r="A628">
        <v>2017</v>
      </c>
      <c r="B628" t="s">
        <v>179</v>
      </c>
      <c r="C628" t="s">
        <v>205</v>
      </c>
      <c r="D628" t="s">
        <v>206</v>
      </c>
      <c r="E628" t="s">
        <v>149</v>
      </c>
      <c r="F628">
        <f t="shared" si="36"/>
        <v>0</v>
      </c>
      <c r="G628">
        <f t="shared" si="37"/>
        <v>0</v>
      </c>
      <c r="H628">
        <f t="shared" si="38"/>
        <v>0</v>
      </c>
      <c r="I628">
        <f t="shared" si="39"/>
        <v>0</v>
      </c>
      <c r="J628" t="s">
        <v>286</v>
      </c>
      <c r="K628" t="s">
        <v>565</v>
      </c>
      <c r="L628" t="s">
        <v>629</v>
      </c>
      <c r="M628" t="s">
        <v>674</v>
      </c>
    </row>
    <row r="629" spans="1:13" x14ac:dyDescent="0.35">
      <c r="A629">
        <v>2016</v>
      </c>
      <c r="B629" t="s">
        <v>179</v>
      </c>
      <c r="C629" t="s">
        <v>205</v>
      </c>
      <c r="D629" t="s">
        <v>206</v>
      </c>
      <c r="E629" t="s">
        <v>149</v>
      </c>
      <c r="F629">
        <f t="shared" si="36"/>
        <v>1</v>
      </c>
      <c r="G629">
        <f t="shared" si="37"/>
        <v>1</v>
      </c>
      <c r="H629">
        <f t="shared" si="38"/>
        <v>0</v>
      </c>
      <c r="I629">
        <f t="shared" si="39"/>
        <v>0</v>
      </c>
      <c r="J629" t="s">
        <v>286</v>
      </c>
      <c r="K629" t="s">
        <v>565</v>
      </c>
      <c r="L629" t="s">
        <v>629</v>
      </c>
      <c r="M629" t="s">
        <v>674</v>
      </c>
    </row>
    <row r="630" spans="1:13" x14ac:dyDescent="0.35">
      <c r="A630">
        <v>2015</v>
      </c>
      <c r="B630" t="s">
        <v>179</v>
      </c>
      <c r="C630" t="s">
        <v>207</v>
      </c>
      <c r="D630" t="s">
        <v>205</v>
      </c>
      <c r="E630" t="s">
        <v>149</v>
      </c>
      <c r="F630">
        <f t="shared" si="36"/>
        <v>0</v>
      </c>
      <c r="G630">
        <f t="shared" si="37"/>
        <v>0</v>
      </c>
      <c r="H630">
        <f t="shared" si="38"/>
        <v>1</v>
      </c>
      <c r="I630">
        <f t="shared" si="39"/>
        <v>0</v>
      </c>
      <c r="J630" t="s">
        <v>286</v>
      </c>
      <c r="K630" t="s">
        <v>565</v>
      </c>
      <c r="L630" t="s">
        <v>626</v>
      </c>
      <c r="M630" t="s">
        <v>674</v>
      </c>
    </row>
    <row r="631" spans="1:13" x14ac:dyDescent="0.35">
      <c r="A631">
        <v>2014</v>
      </c>
      <c r="B631" t="s">
        <v>179</v>
      </c>
      <c r="C631" t="s">
        <v>207</v>
      </c>
      <c r="D631" t="s">
        <v>205</v>
      </c>
      <c r="E631" t="s">
        <v>209</v>
      </c>
      <c r="F631">
        <f t="shared" si="36"/>
        <v>0</v>
      </c>
      <c r="G631">
        <f t="shared" si="37"/>
        <v>1</v>
      </c>
      <c r="H631">
        <f t="shared" si="38"/>
        <v>0</v>
      </c>
      <c r="I631">
        <f t="shared" si="39"/>
        <v>0</v>
      </c>
      <c r="J631" t="s">
        <v>286</v>
      </c>
      <c r="K631" t="s">
        <v>565</v>
      </c>
      <c r="L631" t="s">
        <v>626</v>
      </c>
      <c r="M631" t="s">
        <v>665</v>
      </c>
    </row>
    <row r="632" spans="1:13" x14ac:dyDescent="0.35">
      <c r="A632">
        <v>2013</v>
      </c>
      <c r="B632" t="s">
        <v>179</v>
      </c>
      <c r="C632" t="s">
        <v>207</v>
      </c>
      <c r="D632" t="s">
        <v>208</v>
      </c>
      <c r="E632" t="s">
        <v>209</v>
      </c>
      <c r="F632">
        <f t="shared" si="36"/>
        <v>0</v>
      </c>
      <c r="G632">
        <f t="shared" si="37"/>
        <v>0</v>
      </c>
      <c r="H632">
        <f t="shared" si="38"/>
        <v>0</v>
      </c>
      <c r="I632">
        <f t="shared" si="39"/>
        <v>0</v>
      </c>
      <c r="J632" t="s">
        <v>286</v>
      </c>
      <c r="K632" t="s">
        <v>565</v>
      </c>
      <c r="L632" t="s">
        <v>626</v>
      </c>
      <c r="M632" t="s">
        <v>665</v>
      </c>
    </row>
    <row r="633" spans="1:13" x14ac:dyDescent="0.35">
      <c r="A633">
        <v>2012</v>
      </c>
      <c r="B633" t="s">
        <v>179</v>
      </c>
      <c r="C633" t="s">
        <v>207</v>
      </c>
      <c r="D633" t="s">
        <v>208</v>
      </c>
      <c r="E633" t="s">
        <v>209</v>
      </c>
      <c r="F633">
        <f t="shared" si="36"/>
        <v>0</v>
      </c>
      <c r="G633">
        <f t="shared" si="37"/>
        <v>0</v>
      </c>
      <c r="H633">
        <f t="shared" si="38"/>
        <v>0</v>
      </c>
      <c r="I633">
        <f t="shared" si="39"/>
        <v>0</v>
      </c>
      <c r="J633" t="s">
        <v>286</v>
      </c>
      <c r="K633" t="s">
        <v>565</v>
      </c>
      <c r="L633" t="s">
        <v>626</v>
      </c>
      <c r="M633" t="s">
        <v>665</v>
      </c>
    </row>
    <row r="634" spans="1:13" x14ac:dyDescent="0.35">
      <c r="A634">
        <v>2011</v>
      </c>
      <c r="B634" t="s">
        <v>179</v>
      </c>
      <c r="C634" t="s">
        <v>207</v>
      </c>
      <c r="D634" t="s">
        <v>208</v>
      </c>
      <c r="E634" t="s">
        <v>209</v>
      </c>
      <c r="F634">
        <f t="shared" si="36"/>
        <v>0</v>
      </c>
      <c r="G634">
        <f t="shared" si="37"/>
        <v>0</v>
      </c>
      <c r="H634">
        <f t="shared" si="38"/>
        <v>0</v>
      </c>
      <c r="I634">
        <f t="shared" si="39"/>
        <v>0</v>
      </c>
      <c r="J634" t="s">
        <v>286</v>
      </c>
      <c r="K634" t="s">
        <v>565</v>
      </c>
      <c r="L634" t="s">
        <v>626</v>
      </c>
      <c r="M634" t="s">
        <v>665</v>
      </c>
    </row>
    <row r="635" spans="1:13" hidden="1" x14ac:dyDescent="0.35">
      <c r="A635">
        <v>2010</v>
      </c>
      <c r="B635" t="s">
        <v>179</v>
      </c>
      <c r="C635" t="s">
        <v>207</v>
      </c>
      <c r="D635" t="s">
        <v>208</v>
      </c>
      <c r="E635" t="s">
        <v>209</v>
      </c>
      <c r="F635">
        <f t="shared" si="36"/>
        <v>0</v>
      </c>
      <c r="G635">
        <f t="shared" si="37"/>
        <v>0</v>
      </c>
      <c r="H635">
        <f t="shared" si="38"/>
        <v>1</v>
      </c>
      <c r="I635">
        <f t="shared" si="39"/>
        <v>0</v>
      </c>
      <c r="J635" t="s">
        <v>286</v>
      </c>
      <c r="K635" t="s">
        <v>565</v>
      </c>
      <c r="L635" t="s">
        <v>626</v>
      </c>
      <c r="M635" t="s">
        <v>665</v>
      </c>
    </row>
    <row r="636" spans="1:13" hidden="1" x14ac:dyDescent="0.35">
      <c r="A636">
        <v>2009</v>
      </c>
      <c r="B636" t="s">
        <v>179</v>
      </c>
      <c r="C636" t="s">
        <v>207</v>
      </c>
      <c r="D636" t="s">
        <v>208</v>
      </c>
      <c r="E636" t="s">
        <v>244</v>
      </c>
      <c r="F636">
        <f t="shared" si="36"/>
        <v>0</v>
      </c>
      <c r="G636">
        <f t="shared" si="37"/>
        <v>0</v>
      </c>
      <c r="H636">
        <f t="shared" si="38"/>
        <v>1</v>
      </c>
      <c r="I636">
        <f t="shared" si="39"/>
        <v>0</v>
      </c>
      <c r="J636" t="s">
        <v>286</v>
      </c>
      <c r="K636" t="s">
        <v>565</v>
      </c>
      <c r="L636" t="s">
        <v>207</v>
      </c>
    </row>
    <row r="637" spans="1:13" hidden="1" x14ac:dyDescent="0.35">
      <c r="A637">
        <v>2008</v>
      </c>
      <c r="B637" t="s">
        <v>179</v>
      </c>
      <c r="C637" t="s">
        <v>207</v>
      </c>
      <c r="D637" t="s">
        <v>208</v>
      </c>
      <c r="E637" t="s">
        <v>149</v>
      </c>
      <c r="F637">
        <f t="shared" si="36"/>
        <v>0</v>
      </c>
      <c r="G637">
        <f t="shared" si="37"/>
        <v>0</v>
      </c>
      <c r="H637">
        <f t="shared" si="38"/>
        <v>0</v>
      </c>
      <c r="I637">
        <f t="shared" si="39"/>
        <v>0</v>
      </c>
      <c r="J637" t="s">
        <v>286</v>
      </c>
      <c r="K637" t="s">
        <v>565</v>
      </c>
      <c r="L637" t="s">
        <v>207</v>
      </c>
    </row>
    <row r="638" spans="1:13" hidden="1" x14ac:dyDescent="0.35">
      <c r="A638">
        <v>2007</v>
      </c>
      <c r="B638" t="s">
        <v>179</v>
      </c>
      <c r="C638" t="s">
        <v>207</v>
      </c>
      <c r="D638" t="s">
        <v>208</v>
      </c>
      <c r="E638" t="s">
        <v>149</v>
      </c>
      <c r="F638">
        <f t="shared" si="36"/>
        <v>0</v>
      </c>
      <c r="G638">
        <f t="shared" si="37"/>
        <v>1</v>
      </c>
      <c r="H638">
        <f t="shared" si="38"/>
        <v>1</v>
      </c>
      <c r="I638">
        <f t="shared" si="39"/>
        <v>1</v>
      </c>
      <c r="J638" t="s">
        <v>286</v>
      </c>
      <c r="K638" t="s">
        <v>565</v>
      </c>
      <c r="L638" t="s">
        <v>207</v>
      </c>
    </row>
    <row r="639" spans="1:13" hidden="1" x14ac:dyDescent="0.35">
      <c r="A639">
        <v>2006</v>
      </c>
      <c r="B639" t="s">
        <v>179</v>
      </c>
      <c r="C639" t="s">
        <v>207</v>
      </c>
      <c r="D639" t="s">
        <v>568</v>
      </c>
      <c r="E639" t="s">
        <v>569</v>
      </c>
      <c r="F639">
        <f t="shared" si="36"/>
        <v>0</v>
      </c>
      <c r="G639">
        <f t="shared" si="37"/>
        <v>0</v>
      </c>
      <c r="H639">
        <f t="shared" si="38"/>
        <v>0</v>
      </c>
      <c r="I639">
        <f t="shared" si="39"/>
        <v>0</v>
      </c>
      <c r="J639" t="s">
        <v>567</v>
      </c>
      <c r="K639" t="s">
        <v>565</v>
      </c>
    </row>
    <row r="640" spans="1:13" hidden="1" x14ac:dyDescent="0.35">
      <c r="A640">
        <v>2005</v>
      </c>
      <c r="B640" t="s">
        <v>179</v>
      </c>
      <c r="C640" t="s">
        <v>207</v>
      </c>
      <c r="D640" t="s">
        <v>568</v>
      </c>
      <c r="E640" t="s">
        <v>569</v>
      </c>
      <c r="F640">
        <f t="shared" si="36"/>
        <v>0</v>
      </c>
      <c r="G640">
        <f t="shared" si="37"/>
        <v>0</v>
      </c>
      <c r="H640">
        <f t="shared" si="38"/>
        <v>0</v>
      </c>
      <c r="I640">
        <f t="shared" si="39"/>
        <v>0</v>
      </c>
      <c r="J640" t="s">
        <v>567</v>
      </c>
      <c r="K640" t="s">
        <v>565</v>
      </c>
    </row>
    <row r="641" spans="1:13" hidden="1" x14ac:dyDescent="0.35">
      <c r="A641">
        <v>2004</v>
      </c>
      <c r="B641" t="s">
        <v>179</v>
      </c>
      <c r="C641" t="s">
        <v>207</v>
      </c>
      <c r="D641" t="s">
        <v>568</v>
      </c>
      <c r="E641" t="s">
        <v>569</v>
      </c>
      <c r="F641">
        <f t="shared" si="36"/>
        <v>1</v>
      </c>
      <c r="G641">
        <f t="shared" si="37"/>
        <v>1</v>
      </c>
      <c r="H641">
        <f t="shared" si="38"/>
        <v>1</v>
      </c>
      <c r="I641">
        <f t="shared" si="39"/>
        <v>0</v>
      </c>
      <c r="J641" t="s">
        <v>567</v>
      </c>
      <c r="K641" t="s">
        <v>566</v>
      </c>
    </row>
    <row r="642" spans="1:13" hidden="1" x14ac:dyDescent="0.35">
      <c r="A642">
        <v>2003</v>
      </c>
      <c r="B642" t="s">
        <v>179</v>
      </c>
      <c r="C642" t="s">
        <v>405</v>
      </c>
      <c r="D642" t="s">
        <v>415</v>
      </c>
      <c r="E642" t="s">
        <v>570</v>
      </c>
      <c r="F642">
        <f t="shared" ref="F642:F705" si="40">IF(C642=C643,0,1)</f>
        <v>0</v>
      </c>
      <c r="G642">
        <f t="shared" ref="G642:G705" si="41">IF(D642=D643,0,1)</f>
        <v>1</v>
      </c>
      <c r="H642">
        <f t="shared" ref="H642:H705" si="42">IF(E642=E643,0,1)</f>
        <v>0</v>
      </c>
      <c r="I642">
        <f t="shared" ref="I642:I705" si="43">IF(J642=J643,0,1)</f>
        <v>0</v>
      </c>
      <c r="J642" t="s">
        <v>567</v>
      </c>
      <c r="K642" t="s">
        <v>566</v>
      </c>
    </row>
    <row r="643" spans="1:13" hidden="1" x14ac:dyDescent="0.35">
      <c r="A643">
        <v>2002</v>
      </c>
      <c r="B643" t="s">
        <v>179</v>
      </c>
      <c r="C643" t="s">
        <v>405</v>
      </c>
      <c r="D643" t="s">
        <v>246</v>
      </c>
      <c r="E643" t="s">
        <v>570</v>
      </c>
      <c r="F643">
        <f t="shared" si="40"/>
        <v>0</v>
      </c>
      <c r="G643">
        <f t="shared" si="41"/>
        <v>0</v>
      </c>
      <c r="H643">
        <f t="shared" si="42"/>
        <v>1</v>
      </c>
      <c r="I643">
        <f t="shared" si="43"/>
        <v>0</v>
      </c>
      <c r="J643" t="s">
        <v>567</v>
      </c>
      <c r="K643" t="s">
        <v>566</v>
      </c>
      <c r="L643" t="s">
        <v>623</v>
      </c>
    </row>
    <row r="644" spans="1:13" hidden="1" x14ac:dyDescent="0.35">
      <c r="A644">
        <v>2001</v>
      </c>
      <c r="B644" t="s">
        <v>179</v>
      </c>
      <c r="C644" t="s">
        <v>405</v>
      </c>
      <c r="D644" t="s">
        <v>246</v>
      </c>
      <c r="E644" t="s">
        <v>168</v>
      </c>
      <c r="F644">
        <f t="shared" si="40"/>
        <v>0</v>
      </c>
      <c r="G644">
        <f t="shared" si="41"/>
        <v>0</v>
      </c>
      <c r="H644">
        <f t="shared" si="42"/>
        <v>0</v>
      </c>
      <c r="I644">
        <f t="shared" si="43"/>
        <v>0</v>
      </c>
      <c r="J644" t="s">
        <v>567</v>
      </c>
      <c r="K644" t="s">
        <v>566</v>
      </c>
      <c r="L644" t="s">
        <v>623</v>
      </c>
    </row>
    <row r="645" spans="1:13" hidden="1" x14ac:dyDescent="0.35">
      <c r="A645">
        <v>2000</v>
      </c>
      <c r="B645" t="s">
        <v>179</v>
      </c>
      <c r="C645" t="s">
        <v>405</v>
      </c>
      <c r="D645" t="s">
        <v>246</v>
      </c>
      <c r="E645" t="s">
        <v>168</v>
      </c>
      <c r="F645">
        <f t="shared" si="40"/>
        <v>0</v>
      </c>
      <c r="G645">
        <f t="shared" si="41"/>
        <v>1</v>
      </c>
      <c r="H645">
        <f t="shared" si="42"/>
        <v>0</v>
      </c>
      <c r="I645">
        <f t="shared" si="43"/>
        <v>0</v>
      </c>
      <c r="J645" t="s">
        <v>567</v>
      </c>
      <c r="K645" t="s">
        <v>566</v>
      </c>
      <c r="L645" t="s">
        <v>623</v>
      </c>
    </row>
    <row r="646" spans="1:13" hidden="1" x14ac:dyDescent="0.35">
      <c r="A646">
        <v>1999</v>
      </c>
      <c r="B646" t="s">
        <v>179</v>
      </c>
      <c r="C646" t="s">
        <v>405</v>
      </c>
      <c r="D646" t="s">
        <v>571</v>
      </c>
      <c r="E646" t="s">
        <v>168</v>
      </c>
      <c r="F646">
        <f t="shared" si="40"/>
        <v>1</v>
      </c>
      <c r="G646">
        <f t="shared" si="41"/>
        <v>1</v>
      </c>
      <c r="H646">
        <f t="shared" si="42"/>
        <v>1</v>
      </c>
      <c r="I646">
        <f t="shared" si="43"/>
        <v>1</v>
      </c>
      <c r="J646" t="s">
        <v>567</v>
      </c>
      <c r="K646" t="s">
        <v>566</v>
      </c>
      <c r="L646" t="s">
        <v>633</v>
      </c>
    </row>
    <row r="647" spans="1:13" x14ac:dyDescent="0.35">
      <c r="A647">
        <v>2025</v>
      </c>
      <c r="B647" t="s">
        <v>28</v>
      </c>
      <c r="C647" t="s">
        <v>467</v>
      </c>
      <c r="D647" t="s">
        <v>692</v>
      </c>
      <c r="E647" t="s">
        <v>108</v>
      </c>
      <c r="F647">
        <f t="shared" si="40"/>
        <v>1</v>
      </c>
      <c r="G647">
        <f t="shared" si="41"/>
        <v>1</v>
      </c>
      <c r="H647">
        <f t="shared" si="42"/>
        <v>1</v>
      </c>
      <c r="I647">
        <f t="shared" si="43"/>
        <v>0</v>
      </c>
      <c r="J647" t="s">
        <v>256</v>
      </c>
      <c r="K647" t="s">
        <v>573</v>
      </c>
      <c r="L647" t="s">
        <v>626</v>
      </c>
      <c r="M647" t="s">
        <v>667</v>
      </c>
    </row>
    <row r="648" spans="1:13" x14ac:dyDescent="0.35">
      <c r="A648">
        <v>2024</v>
      </c>
      <c r="B648" t="s">
        <v>28</v>
      </c>
      <c r="C648" t="s">
        <v>227</v>
      </c>
      <c r="D648" t="s">
        <v>16</v>
      </c>
      <c r="E648" t="s">
        <v>227</v>
      </c>
      <c r="F648">
        <f t="shared" si="40"/>
        <v>0</v>
      </c>
      <c r="G648">
        <f t="shared" si="41"/>
        <v>0</v>
      </c>
      <c r="H648">
        <f t="shared" si="42"/>
        <v>0</v>
      </c>
      <c r="I648">
        <f t="shared" si="43"/>
        <v>0</v>
      </c>
      <c r="J648" t="s">
        <v>256</v>
      </c>
      <c r="K648" t="s">
        <v>573</v>
      </c>
      <c r="L648" t="s">
        <v>626</v>
      </c>
      <c r="M648" t="s">
        <v>667</v>
      </c>
    </row>
    <row r="649" spans="1:13" x14ac:dyDescent="0.35">
      <c r="A649">
        <v>2023</v>
      </c>
      <c r="B649" t="s">
        <v>28</v>
      </c>
      <c r="C649" t="s">
        <v>227</v>
      </c>
      <c r="D649" t="s">
        <v>16</v>
      </c>
      <c r="E649" t="s">
        <v>227</v>
      </c>
      <c r="F649">
        <f t="shared" si="40"/>
        <v>0</v>
      </c>
      <c r="G649">
        <f t="shared" si="41"/>
        <v>1</v>
      </c>
      <c r="H649">
        <f t="shared" si="42"/>
        <v>0</v>
      </c>
      <c r="I649">
        <f t="shared" si="43"/>
        <v>0</v>
      </c>
      <c r="J649" t="s">
        <v>256</v>
      </c>
      <c r="K649" t="s">
        <v>573</v>
      </c>
      <c r="L649" t="s">
        <v>626</v>
      </c>
      <c r="M649" t="s">
        <v>667</v>
      </c>
    </row>
    <row r="650" spans="1:13" x14ac:dyDescent="0.35">
      <c r="A650">
        <v>2022</v>
      </c>
      <c r="B650" t="s">
        <v>28</v>
      </c>
      <c r="C650" t="s">
        <v>227</v>
      </c>
      <c r="D650" t="s">
        <v>572</v>
      </c>
      <c r="E650" t="s">
        <v>227</v>
      </c>
      <c r="F650">
        <f t="shared" si="40"/>
        <v>0</v>
      </c>
      <c r="G650">
        <f t="shared" si="41"/>
        <v>0</v>
      </c>
      <c r="H650">
        <f t="shared" si="42"/>
        <v>0</v>
      </c>
      <c r="I650">
        <f t="shared" si="43"/>
        <v>0</v>
      </c>
      <c r="J650" t="s">
        <v>256</v>
      </c>
      <c r="K650" t="s">
        <v>573</v>
      </c>
      <c r="L650" t="s">
        <v>627</v>
      </c>
      <c r="M650" t="s">
        <v>667</v>
      </c>
    </row>
    <row r="651" spans="1:13" x14ac:dyDescent="0.35">
      <c r="A651">
        <v>2021</v>
      </c>
      <c r="B651" t="s">
        <v>28</v>
      </c>
      <c r="C651" t="s">
        <v>227</v>
      </c>
      <c r="D651" t="s">
        <v>572</v>
      </c>
      <c r="E651" t="s">
        <v>227</v>
      </c>
      <c r="F651">
        <f t="shared" si="40"/>
        <v>1</v>
      </c>
      <c r="G651">
        <f t="shared" si="41"/>
        <v>1</v>
      </c>
      <c r="H651">
        <f t="shared" si="42"/>
        <v>1</v>
      </c>
      <c r="I651">
        <f t="shared" si="43"/>
        <v>0</v>
      </c>
      <c r="J651" t="s">
        <v>256</v>
      </c>
      <c r="K651" t="s">
        <v>573</v>
      </c>
      <c r="L651" t="s">
        <v>627</v>
      </c>
      <c r="M651" t="s">
        <v>667</v>
      </c>
    </row>
    <row r="652" spans="1:13" x14ac:dyDescent="0.35">
      <c r="A652">
        <v>2020</v>
      </c>
      <c r="B652" t="s">
        <v>28</v>
      </c>
      <c r="C652" t="s">
        <v>38</v>
      </c>
      <c r="D652" t="s">
        <v>38</v>
      </c>
      <c r="E652" t="s">
        <v>50</v>
      </c>
      <c r="F652">
        <f t="shared" si="40"/>
        <v>0</v>
      </c>
      <c r="G652">
        <f t="shared" si="41"/>
        <v>0</v>
      </c>
      <c r="H652">
        <f t="shared" si="42"/>
        <v>0</v>
      </c>
      <c r="I652">
        <f t="shared" si="43"/>
        <v>0</v>
      </c>
      <c r="J652" t="s">
        <v>256</v>
      </c>
      <c r="K652" t="s">
        <v>573</v>
      </c>
      <c r="L652" t="s">
        <v>623</v>
      </c>
      <c r="M652" t="s">
        <v>669</v>
      </c>
    </row>
    <row r="653" spans="1:13" x14ac:dyDescent="0.35">
      <c r="A653">
        <v>2019</v>
      </c>
      <c r="B653" t="s">
        <v>28</v>
      </c>
      <c r="C653" t="s">
        <v>38</v>
      </c>
      <c r="D653" t="s">
        <v>38</v>
      </c>
      <c r="E653" t="s">
        <v>50</v>
      </c>
      <c r="F653">
        <f t="shared" si="40"/>
        <v>1</v>
      </c>
      <c r="G653">
        <f t="shared" si="41"/>
        <v>1</v>
      </c>
      <c r="H653">
        <f t="shared" si="42"/>
        <v>1</v>
      </c>
      <c r="I653">
        <f t="shared" si="43"/>
        <v>1</v>
      </c>
      <c r="J653" t="s">
        <v>256</v>
      </c>
      <c r="K653" t="s">
        <v>573</v>
      </c>
      <c r="L653" t="s">
        <v>623</v>
      </c>
      <c r="M653" t="s">
        <v>669</v>
      </c>
    </row>
    <row r="654" spans="1:13" x14ac:dyDescent="0.35">
      <c r="A654">
        <v>2018</v>
      </c>
      <c r="B654" t="s">
        <v>28</v>
      </c>
      <c r="C654" t="s">
        <v>53</v>
      </c>
      <c r="D654" t="s">
        <v>51</v>
      </c>
      <c r="E654" t="s">
        <v>52</v>
      </c>
      <c r="F654">
        <f t="shared" si="40"/>
        <v>0</v>
      </c>
      <c r="G654">
        <f t="shared" si="41"/>
        <v>1</v>
      </c>
      <c r="H654">
        <f t="shared" si="42"/>
        <v>0</v>
      </c>
      <c r="I654">
        <f t="shared" si="43"/>
        <v>0</v>
      </c>
      <c r="J654" t="s">
        <v>257</v>
      </c>
      <c r="K654" t="s">
        <v>573</v>
      </c>
      <c r="L654" t="s">
        <v>626</v>
      </c>
      <c r="M654" t="s">
        <v>670</v>
      </c>
    </row>
    <row r="655" spans="1:13" x14ac:dyDescent="0.35">
      <c r="A655">
        <v>2017</v>
      </c>
      <c r="B655" t="s">
        <v>28</v>
      </c>
      <c r="C655" t="s">
        <v>53</v>
      </c>
      <c r="D655" t="s">
        <v>54</v>
      </c>
      <c r="E655" t="s">
        <v>52</v>
      </c>
      <c r="F655">
        <f t="shared" si="40"/>
        <v>0</v>
      </c>
      <c r="G655">
        <f t="shared" si="41"/>
        <v>1</v>
      </c>
      <c r="H655">
        <f t="shared" si="42"/>
        <v>1</v>
      </c>
      <c r="I655">
        <f t="shared" si="43"/>
        <v>0</v>
      </c>
      <c r="J655" t="s">
        <v>257</v>
      </c>
      <c r="K655" t="s">
        <v>573</v>
      </c>
      <c r="L655" t="s">
        <v>626</v>
      </c>
      <c r="M655" t="s">
        <v>670</v>
      </c>
    </row>
    <row r="656" spans="1:13" x14ac:dyDescent="0.35">
      <c r="A656">
        <v>2016</v>
      </c>
      <c r="B656" t="s">
        <v>28</v>
      </c>
      <c r="C656" t="s">
        <v>53</v>
      </c>
      <c r="D656" t="s">
        <v>18</v>
      </c>
      <c r="E656" t="s">
        <v>53</v>
      </c>
      <c r="F656">
        <f t="shared" si="40"/>
        <v>0</v>
      </c>
      <c r="G656">
        <f t="shared" si="41"/>
        <v>0</v>
      </c>
      <c r="H656">
        <f t="shared" si="42"/>
        <v>0</v>
      </c>
      <c r="I656">
        <f t="shared" si="43"/>
        <v>0</v>
      </c>
      <c r="J656" t="s">
        <v>257</v>
      </c>
      <c r="K656" t="s">
        <v>573</v>
      </c>
      <c r="L656" t="s">
        <v>626</v>
      </c>
      <c r="M656" t="s">
        <v>674</v>
      </c>
    </row>
    <row r="657" spans="1:13" x14ac:dyDescent="0.35">
      <c r="A657">
        <v>2015</v>
      </c>
      <c r="B657" t="s">
        <v>28</v>
      </c>
      <c r="C657" t="s">
        <v>53</v>
      </c>
      <c r="D657" t="s">
        <v>18</v>
      </c>
      <c r="E657" t="s">
        <v>53</v>
      </c>
      <c r="F657">
        <f t="shared" si="40"/>
        <v>1</v>
      </c>
      <c r="G657">
        <f t="shared" si="41"/>
        <v>1</v>
      </c>
      <c r="H657">
        <f t="shared" si="42"/>
        <v>1</v>
      </c>
      <c r="I657">
        <f t="shared" si="43"/>
        <v>1</v>
      </c>
      <c r="J657" t="s">
        <v>257</v>
      </c>
      <c r="K657" t="s">
        <v>573</v>
      </c>
      <c r="L657" t="s">
        <v>626</v>
      </c>
      <c r="M657" t="s">
        <v>674</v>
      </c>
    </row>
    <row r="658" spans="1:13" x14ac:dyDescent="0.35">
      <c r="A658">
        <v>2014</v>
      </c>
      <c r="B658" t="s">
        <v>28</v>
      </c>
      <c r="C658" t="s">
        <v>12</v>
      </c>
      <c r="D658" t="s">
        <v>55</v>
      </c>
      <c r="E658" t="s">
        <v>14</v>
      </c>
      <c r="F658">
        <f t="shared" si="40"/>
        <v>0</v>
      </c>
      <c r="G658">
        <f t="shared" si="41"/>
        <v>0</v>
      </c>
      <c r="H658">
        <f t="shared" si="42"/>
        <v>0</v>
      </c>
      <c r="I658">
        <f t="shared" si="43"/>
        <v>0</v>
      </c>
      <c r="J658" t="s">
        <v>258</v>
      </c>
      <c r="K658" t="s">
        <v>573</v>
      </c>
      <c r="L658" t="s">
        <v>631</v>
      </c>
      <c r="M658" t="s">
        <v>670</v>
      </c>
    </row>
    <row r="659" spans="1:13" x14ac:dyDescent="0.35">
      <c r="A659">
        <v>2013</v>
      </c>
      <c r="B659" t="s">
        <v>28</v>
      </c>
      <c r="C659" t="s">
        <v>12</v>
      </c>
      <c r="D659" t="s">
        <v>55</v>
      </c>
      <c r="E659" t="s">
        <v>14</v>
      </c>
      <c r="F659">
        <f t="shared" si="40"/>
        <v>0</v>
      </c>
      <c r="G659">
        <f t="shared" si="41"/>
        <v>1</v>
      </c>
      <c r="H659">
        <f t="shared" si="42"/>
        <v>1</v>
      </c>
      <c r="I659">
        <f t="shared" si="43"/>
        <v>1</v>
      </c>
      <c r="J659" t="s">
        <v>258</v>
      </c>
      <c r="K659" t="s">
        <v>573</v>
      </c>
      <c r="L659" t="s">
        <v>631</v>
      </c>
      <c r="M659" t="s">
        <v>670</v>
      </c>
    </row>
    <row r="660" spans="1:13" x14ac:dyDescent="0.35">
      <c r="A660">
        <v>2012</v>
      </c>
      <c r="B660" t="s">
        <v>28</v>
      </c>
      <c r="C660" t="s">
        <v>12</v>
      </c>
      <c r="D660" t="s">
        <v>47</v>
      </c>
      <c r="E660" t="s">
        <v>17</v>
      </c>
      <c r="F660">
        <f t="shared" si="40"/>
        <v>0</v>
      </c>
      <c r="G660">
        <f t="shared" si="41"/>
        <v>1</v>
      </c>
      <c r="H660">
        <f t="shared" si="42"/>
        <v>0</v>
      </c>
      <c r="I660">
        <f t="shared" si="43"/>
        <v>0</v>
      </c>
      <c r="J660" t="s">
        <v>259</v>
      </c>
      <c r="K660" t="s">
        <v>573</v>
      </c>
      <c r="L660" t="s">
        <v>626</v>
      </c>
      <c r="M660" t="s">
        <v>670</v>
      </c>
    </row>
    <row r="661" spans="1:13" x14ac:dyDescent="0.35">
      <c r="A661">
        <v>2011</v>
      </c>
      <c r="B661" t="s">
        <v>28</v>
      </c>
      <c r="C661" t="s">
        <v>12</v>
      </c>
      <c r="D661" t="s">
        <v>56</v>
      </c>
      <c r="E661" t="s">
        <v>17</v>
      </c>
      <c r="F661">
        <f t="shared" si="40"/>
        <v>0</v>
      </c>
      <c r="G661">
        <f t="shared" si="41"/>
        <v>0</v>
      </c>
      <c r="H661">
        <f t="shared" si="42"/>
        <v>0</v>
      </c>
      <c r="I661">
        <f t="shared" si="43"/>
        <v>0</v>
      </c>
      <c r="J661" t="s">
        <v>259</v>
      </c>
      <c r="K661" t="s">
        <v>573</v>
      </c>
      <c r="L661" t="s">
        <v>626</v>
      </c>
      <c r="M661" t="s">
        <v>670</v>
      </c>
    </row>
    <row r="662" spans="1:13" hidden="1" x14ac:dyDescent="0.35">
      <c r="A662">
        <v>2010</v>
      </c>
      <c r="B662" t="s">
        <v>28</v>
      </c>
      <c r="C662" t="s">
        <v>12</v>
      </c>
      <c r="D662" t="s">
        <v>56</v>
      </c>
      <c r="E662" t="s">
        <v>17</v>
      </c>
      <c r="F662">
        <f t="shared" si="40"/>
        <v>0</v>
      </c>
      <c r="G662">
        <f t="shared" si="41"/>
        <v>0</v>
      </c>
      <c r="H662">
        <f t="shared" si="42"/>
        <v>0</v>
      </c>
      <c r="I662">
        <f t="shared" si="43"/>
        <v>0</v>
      </c>
      <c r="J662" t="s">
        <v>259</v>
      </c>
      <c r="K662" t="s">
        <v>573</v>
      </c>
      <c r="L662" t="s">
        <v>626</v>
      </c>
      <c r="M662" t="s">
        <v>670</v>
      </c>
    </row>
    <row r="663" spans="1:13" hidden="1" x14ac:dyDescent="0.35">
      <c r="A663">
        <v>2009</v>
      </c>
      <c r="B663" t="s">
        <v>28</v>
      </c>
      <c r="C663" t="s">
        <v>12</v>
      </c>
      <c r="D663" t="s">
        <v>56</v>
      </c>
      <c r="E663" t="s">
        <v>17</v>
      </c>
      <c r="F663">
        <f t="shared" si="40"/>
        <v>1</v>
      </c>
      <c r="G663">
        <f t="shared" si="41"/>
        <v>0</v>
      </c>
      <c r="H663">
        <f t="shared" si="42"/>
        <v>1</v>
      </c>
      <c r="I663">
        <f t="shared" si="43"/>
        <v>0</v>
      </c>
      <c r="J663" t="s">
        <v>259</v>
      </c>
      <c r="K663" t="s">
        <v>573</v>
      </c>
      <c r="L663" t="s">
        <v>632</v>
      </c>
    </row>
    <row r="664" spans="1:13" hidden="1" x14ac:dyDescent="0.35">
      <c r="A664">
        <v>2008</v>
      </c>
      <c r="B664" t="s">
        <v>28</v>
      </c>
      <c r="C664" t="s">
        <v>118</v>
      </c>
      <c r="D664" t="s">
        <v>56</v>
      </c>
      <c r="E664" t="s">
        <v>150</v>
      </c>
      <c r="F664">
        <f t="shared" si="40"/>
        <v>0</v>
      </c>
      <c r="G664">
        <f t="shared" si="41"/>
        <v>0</v>
      </c>
      <c r="H664">
        <f t="shared" si="42"/>
        <v>0</v>
      </c>
      <c r="I664">
        <f t="shared" si="43"/>
        <v>0</v>
      </c>
      <c r="J664" t="s">
        <v>259</v>
      </c>
      <c r="K664" t="s">
        <v>573</v>
      </c>
      <c r="L664" t="s">
        <v>632</v>
      </c>
    </row>
    <row r="665" spans="1:13" hidden="1" x14ac:dyDescent="0.35">
      <c r="A665">
        <v>2007</v>
      </c>
      <c r="B665" t="s">
        <v>28</v>
      </c>
      <c r="C665" t="s">
        <v>118</v>
      </c>
      <c r="D665" t="s">
        <v>56</v>
      </c>
      <c r="E665" t="s">
        <v>150</v>
      </c>
      <c r="F665">
        <f t="shared" si="40"/>
        <v>0</v>
      </c>
      <c r="G665">
        <f t="shared" si="41"/>
        <v>0</v>
      </c>
      <c r="H665">
        <f t="shared" si="42"/>
        <v>0</v>
      </c>
      <c r="I665">
        <f t="shared" si="43"/>
        <v>0</v>
      </c>
      <c r="J665" t="s">
        <v>259</v>
      </c>
      <c r="K665" t="s">
        <v>573</v>
      </c>
      <c r="L665" t="s">
        <v>632</v>
      </c>
    </row>
    <row r="666" spans="1:13" hidden="1" x14ac:dyDescent="0.35">
      <c r="A666">
        <v>2006</v>
      </c>
      <c r="B666" t="s">
        <v>28</v>
      </c>
      <c r="C666" t="s">
        <v>118</v>
      </c>
      <c r="D666" t="s">
        <v>56</v>
      </c>
      <c r="E666" t="s">
        <v>150</v>
      </c>
      <c r="F666">
        <f t="shared" si="40"/>
        <v>1</v>
      </c>
      <c r="G666">
        <f t="shared" si="41"/>
        <v>1</v>
      </c>
      <c r="H666">
        <f t="shared" si="42"/>
        <v>1</v>
      </c>
      <c r="I666">
        <f t="shared" si="43"/>
        <v>1</v>
      </c>
      <c r="J666" t="s">
        <v>259</v>
      </c>
      <c r="K666" t="s">
        <v>573</v>
      </c>
      <c r="L666" t="s">
        <v>632</v>
      </c>
    </row>
    <row r="667" spans="1:13" hidden="1" x14ac:dyDescent="0.35">
      <c r="A667">
        <v>2005</v>
      </c>
      <c r="B667" t="s">
        <v>28</v>
      </c>
      <c r="C667" t="s">
        <v>512</v>
      </c>
      <c r="D667" t="s">
        <v>71</v>
      </c>
      <c r="E667" t="s">
        <v>476</v>
      </c>
      <c r="F667">
        <f t="shared" si="40"/>
        <v>0</v>
      </c>
      <c r="G667">
        <f t="shared" si="41"/>
        <v>1</v>
      </c>
      <c r="H667">
        <f t="shared" si="42"/>
        <v>0</v>
      </c>
      <c r="I667">
        <f t="shared" si="43"/>
        <v>0</v>
      </c>
      <c r="J667" t="s">
        <v>575</v>
      </c>
      <c r="K667" t="s">
        <v>573</v>
      </c>
    </row>
    <row r="668" spans="1:13" hidden="1" x14ac:dyDescent="0.35">
      <c r="A668">
        <v>2004</v>
      </c>
      <c r="B668" t="s">
        <v>28</v>
      </c>
      <c r="C668" t="s">
        <v>512</v>
      </c>
      <c r="D668" t="s">
        <v>576</v>
      </c>
      <c r="E668" t="s">
        <v>476</v>
      </c>
      <c r="F668">
        <f t="shared" si="40"/>
        <v>0</v>
      </c>
      <c r="G668">
        <f t="shared" si="41"/>
        <v>0</v>
      </c>
      <c r="H668">
        <f t="shared" si="42"/>
        <v>1</v>
      </c>
      <c r="I668">
        <f t="shared" si="43"/>
        <v>0</v>
      </c>
      <c r="J668" t="s">
        <v>575</v>
      </c>
      <c r="K668" t="s">
        <v>573</v>
      </c>
    </row>
    <row r="669" spans="1:13" hidden="1" x14ac:dyDescent="0.35">
      <c r="A669">
        <v>2003</v>
      </c>
      <c r="B669" t="s">
        <v>28</v>
      </c>
      <c r="C669" t="s">
        <v>512</v>
      </c>
      <c r="D669" t="s">
        <v>576</v>
      </c>
      <c r="E669" t="s">
        <v>422</v>
      </c>
      <c r="F669">
        <f t="shared" si="40"/>
        <v>0</v>
      </c>
      <c r="G669">
        <f t="shared" si="41"/>
        <v>0</v>
      </c>
      <c r="H669">
        <f t="shared" si="42"/>
        <v>0</v>
      </c>
      <c r="I669">
        <f t="shared" si="43"/>
        <v>0</v>
      </c>
      <c r="J669" t="s">
        <v>575</v>
      </c>
      <c r="K669" t="s">
        <v>573</v>
      </c>
    </row>
    <row r="670" spans="1:13" hidden="1" x14ac:dyDescent="0.35">
      <c r="A670">
        <v>2002</v>
      </c>
      <c r="B670" t="s">
        <v>28</v>
      </c>
      <c r="C670" t="s">
        <v>512</v>
      </c>
      <c r="D670" t="s">
        <v>576</v>
      </c>
      <c r="E670" t="s">
        <v>422</v>
      </c>
      <c r="F670">
        <f t="shared" si="40"/>
        <v>0</v>
      </c>
      <c r="G670">
        <f t="shared" si="41"/>
        <v>0</v>
      </c>
      <c r="H670">
        <f t="shared" si="42"/>
        <v>0</v>
      </c>
      <c r="I670">
        <f t="shared" si="43"/>
        <v>0</v>
      </c>
      <c r="J670" t="s">
        <v>575</v>
      </c>
      <c r="K670" t="s">
        <v>573</v>
      </c>
    </row>
    <row r="671" spans="1:13" hidden="1" x14ac:dyDescent="0.35">
      <c r="A671">
        <v>2001</v>
      </c>
      <c r="B671" t="s">
        <v>28</v>
      </c>
      <c r="C671" t="s">
        <v>512</v>
      </c>
      <c r="D671" t="s">
        <v>576</v>
      </c>
      <c r="E671" t="s">
        <v>422</v>
      </c>
      <c r="F671">
        <f t="shared" si="40"/>
        <v>1</v>
      </c>
      <c r="G671">
        <f t="shared" si="41"/>
        <v>1</v>
      </c>
      <c r="H671">
        <f t="shared" si="42"/>
        <v>1</v>
      </c>
      <c r="I671">
        <f t="shared" si="43"/>
        <v>1</v>
      </c>
      <c r="J671" t="s">
        <v>575</v>
      </c>
      <c r="K671" t="s">
        <v>573</v>
      </c>
    </row>
    <row r="672" spans="1:13" hidden="1" x14ac:dyDescent="0.35">
      <c r="A672">
        <v>2000</v>
      </c>
      <c r="B672" t="s">
        <v>28</v>
      </c>
      <c r="C672" t="s">
        <v>577</v>
      </c>
      <c r="D672" t="s">
        <v>48</v>
      </c>
      <c r="E672" t="s">
        <v>49</v>
      </c>
      <c r="F672">
        <f t="shared" si="40"/>
        <v>1</v>
      </c>
      <c r="G672">
        <f t="shared" si="41"/>
        <v>1</v>
      </c>
      <c r="H672">
        <f t="shared" si="42"/>
        <v>1</v>
      </c>
      <c r="I672">
        <f t="shared" si="43"/>
        <v>0</v>
      </c>
      <c r="J672" t="s">
        <v>456</v>
      </c>
      <c r="K672" t="s">
        <v>573</v>
      </c>
      <c r="L672" t="s">
        <v>623</v>
      </c>
    </row>
    <row r="673" spans="1:13" hidden="1" x14ac:dyDescent="0.35">
      <c r="A673">
        <v>1999</v>
      </c>
      <c r="B673" t="s">
        <v>28</v>
      </c>
      <c r="C673" t="s">
        <v>456</v>
      </c>
      <c r="D673" t="s">
        <v>553</v>
      </c>
      <c r="E673" t="s">
        <v>23</v>
      </c>
      <c r="F673">
        <f t="shared" si="40"/>
        <v>1</v>
      </c>
      <c r="G673">
        <f t="shared" si="41"/>
        <v>1</v>
      </c>
      <c r="H673">
        <f t="shared" si="42"/>
        <v>1</v>
      </c>
      <c r="I673">
        <f t="shared" si="43"/>
        <v>1</v>
      </c>
      <c r="J673" t="s">
        <v>456</v>
      </c>
      <c r="K673" t="s">
        <v>574</v>
      </c>
      <c r="L673" t="s">
        <v>629</v>
      </c>
      <c r="M673" t="s">
        <v>669</v>
      </c>
    </row>
    <row r="674" spans="1:13" x14ac:dyDescent="0.35">
      <c r="A674">
        <v>2025</v>
      </c>
      <c r="B674" t="s">
        <v>177</v>
      </c>
      <c r="C674" t="s">
        <v>578</v>
      </c>
      <c r="D674" t="s">
        <v>693</v>
      </c>
      <c r="E674" t="s">
        <v>167</v>
      </c>
      <c r="F674">
        <f t="shared" si="40"/>
        <v>0</v>
      </c>
      <c r="G674">
        <f t="shared" si="41"/>
        <v>1</v>
      </c>
      <c r="H674">
        <f t="shared" si="42"/>
        <v>0</v>
      </c>
      <c r="I674">
        <f t="shared" si="43"/>
        <v>0</v>
      </c>
      <c r="J674" t="s">
        <v>283</v>
      </c>
      <c r="K674" t="s">
        <v>580</v>
      </c>
      <c r="L674" t="s">
        <v>631</v>
      </c>
      <c r="M674" t="s">
        <v>667</v>
      </c>
    </row>
    <row r="675" spans="1:13" x14ac:dyDescent="0.35">
      <c r="A675">
        <v>2024</v>
      </c>
      <c r="B675" t="s">
        <v>177</v>
      </c>
      <c r="C675" t="s">
        <v>578</v>
      </c>
      <c r="D675" t="s">
        <v>195</v>
      </c>
      <c r="E675" t="s">
        <v>167</v>
      </c>
      <c r="F675">
        <f t="shared" si="40"/>
        <v>0</v>
      </c>
      <c r="G675">
        <f t="shared" si="41"/>
        <v>1</v>
      </c>
      <c r="H675">
        <f t="shared" si="42"/>
        <v>1</v>
      </c>
      <c r="I675">
        <f t="shared" si="43"/>
        <v>0</v>
      </c>
      <c r="J675" t="s">
        <v>283</v>
      </c>
      <c r="K675" t="s">
        <v>580</v>
      </c>
      <c r="L675" t="s">
        <v>631</v>
      </c>
      <c r="M675" t="s">
        <v>667</v>
      </c>
    </row>
    <row r="676" spans="1:13" x14ac:dyDescent="0.35">
      <c r="A676">
        <v>2023</v>
      </c>
      <c r="B676" t="s">
        <v>177</v>
      </c>
      <c r="C676" t="s">
        <v>578</v>
      </c>
      <c r="D676" t="s">
        <v>660</v>
      </c>
      <c r="E676" t="s">
        <v>431</v>
      </c>
      <c r="F676">
        <f t="shared" si="40"/>
        <v>0</v>
      </c>
      <c r="G676">
        <f t="shared" si="41"/>
        <v>1</v>
      </c>
      <c r="H676">
        <f t="shared" si="42"/>
        <v>1</v>
      </c>
      <c r="I676">
        <f t="shared" si="43"/>
        <v>0</v>
      </c>
      <c r="J676" t="s">
        <v>283</v>
      </c>
      <c r="K676" t="s">
        <v>580</v>
      </c>
      <c r="L676" t="s">
        <v>631</v>
      </c>
      <c r="M676" t="s">
        <v>667</v>
      </c>
    </row>
    <row r="677" spans="1:13" x14ac:dyDescent="0.35">
      <c r="A677">
        <v>2022</v>
      </c>
      <c r="B677" t="s">
        <v>177</v>
      </c>
      <c r="C677" t="s">
        <v>578</v>
      </c>
      <c r="D677" t="s">
        <v>172</v>
      </c>
      <c r="E677" t="s">
        <v>579</v>
      </c>
      <c r="F677">
        <f t="shared" si="40"/>
        <v>0</v>
      </c>
      <c r="G677">
        <f t="shared" si="41"/>
        <v>0</v>
      </c>
      <c r="H677">
        <f t="shared" si="42"/>
        <v>0</v>
      </c>
      <c r="I677">
        <f t="shared" si="43"/>
        <v>0</v>
      </c>
      <c r="J677" t="s">
        <v>283</v>
      </c>
      <c r="K677" t="s">
        <v>580</v>
      </c>
      <c r="L677" t="s">
        <v>631</v>
      </c>
      <c r="M677" t="s">
        <v>665</v>
      </c>
    </row>
    <row r="678" spans="1:13" x14ac:dyDescent="0.35">
      <c r="A678">
        <v>2021</v>
      </c>
      <c r="B678" t="s">
        <v>177</v>
      </c>
      <c r="C678" t="s">
        <v>578</v>
      </c>
      <c r="D678" t="s">
        <v>172</v>
      </c>
      <c r="E678" t="s">
        <v>579</v>
      </c>
      <c r="F678">
        <f t="shared" si="40"/>
        <v>1</v>
      </c>
      <c r="G678">
        <f t="shared" si="41"/>
        <v>1</v>
      </c>
      <c r="H678">
        <f t="shared" si="42"/>
        <v>1</v>
      </c>
      <c r="I678">
        <f t="shared" si="43"/>
        <v>0</v>
      </c>
      <c r="J678" t="s">
        <v>283</v>
      </c>
      <c r="K678" t="s">
        <v>580</v>
      </c>
      <c r="L678" t="s">
        <v>631</v>
      </c>
      <c r="M678" t="s">
        <v>665</v>
      </c>
    </row>
    <row r="679" spans="1:13" x14ac:dyDescent="0.35">
      <c r="A679">
        <v>2020</v>
      </c>
      <c r="B679" t="s">
        <v>177</v>
      </c>
      <c r="C679" t="s">
        <v>152</v>
      </c>
      <c r="D679" t="s">
        <v>152</v>
      </c>
      <c r="E679" t="s">
        <v>472</v>
      </c>
      <c r="F679">
        <f t="shared" si="40"/>
        <v>0</v>
      </c>
      <c r="G679">
        <f t="shared" si="41"/>
        <v>0</v>
      </c>
      <c r="H679">
        <f t="shared" si="42"/>
        <v>0</v>
      </c>
      <c r="I679">
        <f t="shared" si="43"/>
        <v>0</v>
      </c>
      <c r="J679" t="s">
        <v>283</v>
      </c>
      <c r="K679" t="s">
        <v>580</v>
      </c>
      <c r="L679" t="s">
        <v>631</v>
      </c>
      <c r="M679" t="s">
        <v>669</v>
      </c>
    </row>
    <row r="680" spans="1:13" x14ac:dyDescent="0.35">
      <c r="A680">
        <v>2019</v>
      </c>
      <c r="B680" t="s">
        <v>177</v>
      </c>
      <c r="C680" t="s">
        <v>152</v>
      </c>
      <c r="D680" t="s">
        <v>152</v>
      </c>
      <c r="E680" t="s">
        <v>472</v>
      </c>
      <c r="F680">
        <f t="shared" si="40"/>
        <v>0</v>
      </c>
      <c r="G680">
        <f t="shared" si="41"/>
        <v>0</v>
      </c>
      <c r="H680">
        <f t="shared" si="42"/>
        <v>0</v>
      </c>
      <c r="I680">
        <f t="shared" si="43"/>
        <v>0</v>
      </c>
      <c r="J680" t="s">
        <v>283</v>
      </c>
      <c r="K680" t="s">
        <v>580</v>
      </c>
      <c r="L680" t="s">
        <v>631</v>
      </c>
      <c r="M680" t="s">
        <v>669</v>
      </c>
    </row>
    <row r="681" spans="1:13" x14ac:dyDescent="0.35">
      <c r="A681">
        <v>2018</v>
      </c>
      <c r="B681" t="s">
        <v>177</v>
      </c>
      <c r="C681" t="s">
        <v>152</v>
      </c>
      <c r="D681" t="s">
        <v>152</v>
      </c>
      <c r="E681" t="s">
        <v>472</v>
      </c>
      <c r="F681">
        <f t="shared" si="40"/>
        <v>0</v>
      </c>
      <c r="G681">
        <f t="shared" si="41"/>
        <v>1</v>
      </c>
      <c r="H681">
        <f t="shared" si="42"/>
        <v>0</v>
      </c>
      <c r="I681">
        <f t="shared" si="43"/>
        <v>0</v>
      </c>
      <c r="J681" t="s">
        <v>283</v>
      </c>
      <c r="K681" t="s">
        <v>580</v>
      </c>
      <c r="L681" t="s">
        <v>631</v>
      </c>
      <c r="M681" t="s">
        <v>669</v>
      </c>
    </row>
    <row r="682" spans="1:13" x14ac:dyDescent="0.35">
      <c r="A682">
        <v>2017</v>
      </c>
      <c r="B682" t="s">
        <v>177</v>
      </c>
      <c r="C682" t="s">
        <v>152</v>
      </c>
      <c r="D682" t="s">
        <v>73</v>
      </c>
      <c r="E682" t="s">
        <v>472</v>
      </c>
      <c r="F682">
        <f t="shared" si="40"/>
        <v>0</v>
      </c>
      <c r="G682">
        <f t="shared" si="41"/>
        <v>0</v>
      </c>
      <c r="H682">
        <f t="shared" si="42"/>
        <v>0</v>
      </c>
      <c r="I682">
        <f t="shared" si="43"/>
        <v>0</v>
      </c>
      <c r="J682" t="s">
        <v>283</v>
      </c>
      <c r="K682" t="s">
        <v>580</v>
      </c>
      <c r="L682" t="s">
        <v>631</v>
      </c>
      <c r="M682" t="s">
        <v>669</v>
      </c>
    </row>
    <row r="683" spans="1:13" x14ac:dyDescent="0.35">
      <c r="A683">
        <v>2016</v>
      </c>
      <c r="B683" t="s">
        <v>177</v>
      </c>
      <c r="C683" t="s">
        <v>152</v>
      </c>
      <c r="D683" t="s">
        <v>73</v>
      </c>
      <c r="E683" t="s">
        <v>472</v>
      </c>
      <c r="F683">
        <f t="shared" si="40"/>
        <v>1</v>
      </c>
      <c r="G683">
        <f t="shared" si="41"/>
        <v>1</v>
      </c>
      <c r="H683">
        <f t="shared" si="42"/>
        <v>1</v>
      </c>
      <c r="I683">
        <f t="shared" si="43"/>
        <v>1</v>
      </c>
      <c r="J683" t="s">
        <v>283</v>
      </c>
      <c r="K683" t="s">
        <v>580</v>
      </c>
      <c r="L683" t="s">
        <v>631</v>
      </c>
      <c r="M683" t="s">
        <v>669</v>
      </c>
    </row>
    <row r="684" spans="1:13" x14ac:dyDescent="0.35">
      <c r="A684">
        <v>2015</v>
      </c>
      <c r="B684" t="s">
        <v>177</v>
      </c>
      <c r="C684" t="s">
        <v>191</v>
      </c>
      <c r="D684" t="s">
        <v>115</v>
      </c>
      <c r="E684" t="s">
        <v>192</v>
      </c>
      <c r="F684">
        <f t="shared" si="40"/>
        <v>0</v>
      </c>
      <c r="G684">
        <f t="shared" si="41"/>
        <v>0</v>
      </c>
      <c r="H684">
        <f t="shared" si="42"/>
        <v>0</v>
      </c>
      <c r="I684">
        <f t="shared" si="43"/>
        <v>1</v>
      </c>
      <c r="J684" t="s">
        <v>191</v>
      </c>
      <c r="K684" t="s">
        <v>580</v>
      </c>
      <c r="L684" t="s">
        <v>631</v>
      </c>
      <c r="M684" t="s">
        <v>674</v>
      </c>
    </row>
    <row r="685" spans="1:13" x14ac:dyDescent="0.35">
      <c r="A685">
        <v>2014</v>
      </c>
      <c r="B685" t="s">
        <v>177</v>
      </c>
      <c r="C685" t="s">
        <v>191</v>
      </c>
      <c r="D685" t="s">
        <v>115</v>
      </c>
      <c r="E685" t="s">
        <v>192</v>
      </c>
      <c r="F685">
        <f t="shared" si="40"/>
        <v>0</v>
      </c>
      <c r="G685">
        <f t="shared" si="41"/>
        <v>0</v>
      </c>
      <c r="H685">
        <f t="shared" si="42"/>
        <v>0</v>
      </c>
      <c r="I685">
        <f t="shared" si="43"/>
        <v>0</v>
      </c>
      <c r="J685" t="s">
        <v>283</v>
      </c>
      <c r="K685" t="s">
        <v>580</v>
      </c>
      <c r="L685" t="s">
        <v>631</v>
      </c>
      <c r="M685" t="s">
        <v>674</v>
      </c>
    </row>
    <row r="686" spans="1:13" x14ac:dyDescent="0.35">
      <c r="A686">
        <v>2013</v>
      </c>
      <c r="B686" t="s">
        <v>177</v>
      </c>
      <c r="C686" t="s">
        <v>191</v>
      </c>
      <c r="D686" t="s">
        <v>115</v>
      </c>
      <c r="E686" t="s">
        <v>192</v>
      </c>
      <c r="F686">
        <f t="shared" si="40"/>
        <v>1</v>
      </c>
      <c r="G686">
        <f t="shared" si="41"/>
        <v>1</v>
      </c>
      <c r="H686">
        <f t="shared" si="42"/>
        <v>1</v>
      </c>
      <c r="I686">
        <f t="shared" si="43"/>
        <v>1</v>
      </c>
      <c r="J686" t="s">
        <v>283</v>
      </c>
      <c r="K686" t="s">
        <v>580</v>
      </c>
      <c r="L686" t="s">
        <v>631</v>
      </c>
      <c r="M686" t="s">
        <v>674</v>
      </c>
    </row>
    <row r="687" spans="1:13" x14ac:dyDescent="0.35">
      <c r="A687">
        <v>2012</v>
      </c>
      <c r="B687" t="s">
        <v>177</v>
      </c>
      <c r="C687" t="s">
        <v>147</v>
      </c>
      <c r="D687" t="s">
        <v>55</v>
      </c>
      <c r="E687" t="s">
        <v>193</v>
      </c>
      <c r="F687">
        <f t="shared" si="40"/>
        <v>0</v>
      </c>
      <c r="G687">
        <f t="shared" si="41"/>
        <v>0</v>
      </c>
      <c r="H687">
        <f t="shared" si="42"/>
        <v>0</v>
      </c>
      <c r="I687">
        <f t="shared" si="43"/>
        <v>0</v>
      </c>
      <c r="J687" t="s">
        <v>147</v>
      </c>
      <c r="K687" t="s">
        <v>580</v>
      </c>
      <c r="L687" t="s">
        <v>631</v>
      </c>
      <c r="M687" t="s">
        <v>673</v>
      </c>
    </row>
    <row r="688" spans="1:13" x14ac:dyDescent="0.35">
      <c r="A688">
        <v>2011</v>
      </c>
      <c r="B688" t="s">
        <v>177</v>
      </c>
      <c r="C688" t="s">
        <v>147</v>
      </c>
      <c r="D688" t="s">
        <v>55</v>
      </c>
      <c r="E688" t="s">
        <v>193</v>
      </c>
      <c r="F688">
        <f t="shared" si="40"/>
        <v>0</v>
      </c>
      <c r="G688">
        <f t="shared" si="41"/>
        <v>0</v>
      </c>
      <c r="H688">
        <f t="shared" si="42"/>
        <v>1</v>
      </c>
      <c r="I688">
        <f t="shared" si="43"/>
        <v>0</v>
      </c>
      <c r="J688" t="s">
        <v>147</v>
      </c>
      <c r="K688" t="s">
        <v>580</v>
      </c>
      <c r="L688" t="s">
        <v>631</v>
      </c>
      <c r="M688" t="s">
        <v>673</v>
      </c>
    </row>
    <row r="689" spans="1:13" hidden="1" x14ac:dyDescent="0.35">
      <c r="A689">
        <v>2010</v>
      </c>
      <c r="B689" t="s">
        <v>177</v>
      </c>
      <c r="C689" t="s">
        <v>147</v>
      </c>
      <c r="D689" t="s">
        <v>55</v>
      </c>
      <c r="E689" t="s">
        <v>6</v>
      </c>
      <c r="F689">
        <f t="shared" si="40"/>
        <v>0</v>
      </c>
      <c r="G689">
        <f t="shared" si="41"/>
        <v>0</v>
      </c>
      <c r="H689">
        <f t="shared" si="42"/>
        <v>0</v>
      </c>
      <c r="I689">
        <f t="shared" si="43"/>
        <v>0</v>
      </c>
      <c r="J689" t="s">
        <v>147</v>
      </c>
      <c r="K689" t="s">
        <v>580</v>
      </c>
      <c r="L689" t="s">
        <v>631</v>
      </c>
      <c r="M689" t="s">
        <v>665</v>
      </c>
    </row>
    <row r="690" spans="1:13" hidden="1" x14ac:dyDescent="0.35">
      <c r="A690">
        <v>2009</v>
      </c>
      <c r="B690" t="s">
        <v>177</v>
      </c>
      <c r="C690" t="s">
        <v>147</v>
      </c>
      <c r="D690" t="s">
        <v>55</v>
      </c>
      <c r="E690" t="s">
        <v>6</v>
      </c>
      <c r="F690">
        <f t="shared" si="40"/>
        <v>0</v>
      </c>
      <c r="G690">
        <f t="shared" si="41"/>
        <v>0</v>
      </c>
      <c r="H690">
        <f t="shared" si="42"/>
        <v>1</v>
      </c>
      <c r="I690">
        <f t="shared" si="43"/>
        <v>0</v>
      </c>
      <c r="J690" t="s">
        <v>147</v>
      </c>
      <c r="K690" t="s">
        <v>580</v>
      </c>
      <c r="L690" t="s">
        <v>631</v>
      </c>
    </row>
    <row r="691" spans="1:13" hidden="1" x14ac:dyDescent="0.35">
      <c r="A691">
        <v>2008</v>
      </c>
      <c r="B691" t="s">
        <v>177</v>
      </c>
      <c r="C691" t="s">
        <v>147</v>
      </c>
      <c r="D691" t="s">
        <v>55</v>
      </c>
      <c r="E691" t="s">
        <v>581</v>
      </c>
      <c r="F691">
        <f t="shared" si="40"/>
        <v>0</v>
      </c>
      <c r="G691">
        <f t="shared" si="41"/>
        <v>0</v>
      </c>
      <c r="H691">
        <f t="shared" si="42"/>
        <v>0</v>
      </c>
      <c r="I691">
        <f t="shared" si="43"/>
        <v>0</v>
      </c>
      <c r="J691" t="s">
        <v>147</v>
      </c>
      <c r="K691" t="s">
        <v>580</v>
      </c>
      <c r="L691" t="s">
        <v>631</v>
      </c>
    </row>
    <row r="692" spans="1:13" hidden="1" x14ac:dyDescent="0.35">
      <c r="A692">
        <v>2007</v>
      </c>
      <c r="B692" t="s">
        <v>177</v>
      </c>
      <c r="C692" t="s">
        <v>147</v>
      </c>
      <c r="D692" t="s">
        <v>55</v>
      </c>
      <c r="E692" t="s">
        <v>581</v>
      </c>
      <c r="F692">
        <f t="shared" si="40"/>
        <v>0</v>
      </c>
      <c r="G692">
        <f t="shared" si="41"/>
        <v>0</v>
      </c>
      <c r="H692">
        <f t="shared" si="42"/>
        <v>0</v>
      </c>
      <c r="I692">
        <f t="shared" si="43"/>
        <v>0</v>
      </c>
      <c r="J692" t="s">
        <v>147</v>
      </c>
      <c r="K692" t="s">
        <v>580</v>
      </c>
      <c r="L692" t="s">
        <v>631</v>
      </c>
    </row>
    <row r="693" spans="1:13" hidden="1" x14ac:dyDescent="0.35">
      <c r="A693">
        <v>2006</v>
      </c>
      <c r="B693" t="s">
        <v>177</v>
      </c>
      <c r="C693" t="s">
        <v>147</v>
      </c>
      <c r="D693" t="s">
        <v>55</v>
      </c>
      <c r="E693" t="s">
        <v>581</v>
      </c>
      <c r="F693">
        <f t="shared" si="40"/>
        <v>0</v>
      </c>
      <c r="G693">
        <f t="shared" si="41"/>
        <v>1</v>
      </c>
      <c r="H693">
        <f t="shared" si="42"/>
        <v>0</v>
      </c>
      <c r="I693">
        <f t="shared" si="43"/>
        <v>0</v>
      </c>
      <c r="J693" t="s">
        <v>147</v>
      </c>
      <c r="K693" t="s">
        <v>580</v>
      </c>
      <c r="L693" t="s">
        <v>631</v>
      </c>
    </row>
    <row r="694" spans="1:13" hidden="1" x14ac:dyDescent="0.35">
      <c r="A694">
        <v>2005</v>
      </c>
      <c r="B694" t="s">
        <v>177</v>
      </c>
      <c r="C694" t="s">
        <v>147</v>
      </c>
      <c r="D694" t="s">
        <v>113</v>
      </c>
      <c r="E694" t="s">
        <v>581</v>
      </c>
      <c r="F694">
        <f t="shared" si="40"/>
        <v>0</v>
      </c>
      <c r="G694">
        <f t="shared" si="41"/>
        <v>0</v>
      </c>
      <c r="H694">
        <f t="shared" si="42"/>
        <v>0</v>
      </c>
      <c r="I694">
        <f t="shared" si="43"/>
        <v>0</v>
      </c>
      <c r="J694" t="s">
        <v>147</v>
      </c>
      <c r="K694" t="s">
        <v>580</v>
      </c>
      <c r="L694" t="s">
        <v>631</v>
      </c>
    </row>
    <row r="695" spans="1:13" hidden="1" x14ac:dyDescent="0.35">
      <c r="A695">
        <v>2004</v>
      </c>
      <c r="B695" t="s">
        <v>177</v>
      </c>
      <c r="C695" t="s">
        <v>147</v>
      </c>
      <c r="D695" t="s">
        <v>113</v>
      </c>
      <c r="E695" t="s">
        <v>581</v>
      </c>
      <c r="F695">
        <f t="shared" si="40"/>
        <v>0</v>
      </c>
      <c r="G695">
        <f t="shared" si="41"/>
        <v>0</v>
      </c>
      <c r="H695">
        <f t="shared" si="42"/>
        <v>0</v>
      </c>
      <c r="I695">
        <f t="shared" si="43"/>
        <v>0</v>
      </c>
      <c r="J695" t="s">
        <v>147</v>
      </c>
      <c r="K695" t="s">
        <v>580</v>
      </c>
      <c r="L695" t="s">
        <v>631</v>
      </c>
    </row>
    <row r="696" spans="1:13" hidden="1" x14ac:dyDescent="0.35">
      <c r="A696">
        <v>2003</v>
      </c>
      <c r="B696" t="s">
        <v>177</v>
      </c>
      <c r="C696" t="s">
        <v>147</v>
      </c>
      <c r="D696" t="s">
        <v>113</v>
      </c>
      <c r="E696" t="s">
        <v>581</v>
      </c>
      <c r="F696">
        <f t="shared" si="40"/>
        <v>0</v>
      </c>
      <c r="G696">
        <f t="shared" si="41"/>
        <v>0</v>
      </c>
      <c r="H696">
        <f t="shared" si="42"/>
        <v>0</v>
      </c>
      <c r="I696">
        <f t="shared" si="43"/>
        <v>0</v>
      </c>
      <c r="J696" t="s">
        <v>147</v>
      </c>
      <c r="K696" t="s">
        <v>580</v>
      </c>
      <c r="L696" t="s">
        <v>631</v>
      </c>
    </row>
    <row r="697" spans="1:13" hidden="1" x14ac:dyDescent="0.35">
      <c r="A697">
        <v>2002</v>
      </c>
      <c r="B697" t="s">
        <v>177</v>
      </c>
      <c r="C697" t="s">
        <v>147</v>
      </c>
      <c r="D697" t="s">
        <v>113</v>
      </c>
      <c r="E697" t="s">
        <v>581</v>
      </c>
      <c r="F697">
        <f t="shared" si="40"/>
        <v>0</v>
      </c>
      <c r="G697">
        <f t="shared" si="41"/>
        <v>1</v>
      </c>
      <c r="H697">
        <f t="shared" si="42"/>
        <v>0</v>
      </c>
      <c r="I697">
        <f t="shared" si="43"/>
        <v>0</v>
      </c>
      <c r="J697" t="s">
        <v>147</v>
      </c>
      <c r="K697" t="s">
        <v>580</v>
      </c>
      <c r="L697" t="s">
        <v>631</v>
      </c>
    </row>
    <row r="698" spans="1:13" hidden="1" x14ac:dyDescent="0.35">
      <c r="A698">
        <v>2001</v>
      </c>
      <c r="B698" t="s">
        <v>177</v>
      </c>
      <c r="C698" t="s">
        <v>147</v>
      </c>
      <c r="D698" t="s">
        <v>582</v>
      </c>
      <c r="E698" t="s">
        <v>581</v>
      </c>
      <c r="F698">
        <f t="shared" si="40"/>
        <v>0</v>
      </c>
      <c r="G698">
        <f t="shared" si="41"/>
        <v>0</v>
      </c>
      <c r="H698">
        <f t="shared" si="42"/>
        <v>0</v>
      </c>
      <c r="I698">
        <f t="shared" si="43"/>
        <v>1</v>
      </c>
      <c r="J698" t="s">
        <v>147</v>
      </c>
      <c r="K698" t="s">
        <v>580</v>
      </c>
    </row>
    <row r="699" spans="1:13" hidden="1" x14ac:dyDescent="0.35">
      <c r="A699">
        <v>2000</v>
      </c>
      <c r="B699" t="s">
        <v>177</v>
      </c>
      <c r="C699" t="s">
        <v>147</v>
      </c>
      <c r="D699" t="s">
        <v>582</v>
      </c>
      <c r="E699" t="s">
        <v>581</v>
      </c>
      <c r="F699">
        <f t="shared" si="40"/>
        <v>0</v>
      </c>
      <c r="G699">
        <f t="shared" si="41"/>
        <v>0</v>
      </c>
      <c r="H699">
        <f t="shared" si="42"/>
        <v>0</v>
      </c>
      <c r="I699">
        <f t="shared" si="43"/>
        <v>0</v>
      </c>
      <c r="J699" t="s">
        <v>583</v>
      </c>
      <c r="K699" t="s">
        <v>580</v>
      </c>
    </row>
    <row r="700" spans="1:13" hidden="1" x14ac:dyDescent="0.35">
      <c r="A700">
        <v>1999</v>
      </c>
      <c r="B700" t="s">
        <v>177</v>
      </c>
      <c r="C700" t="s">
        <v>147</v>
      </c>
      <c r="D700" t="s">
        <v>582</v>
      </c>
      <c r="E700" t="s">
        <v>581</v>
      </c>
      <c r="F700">
        <f t="shared" si="40"/>
        <v>1</v>
      </c>
      <c r="G700">
        <f t="shared" si="41"/>
        <v>1</v>
      </c>
      <c r="H700">
        <f t="shared" si="42"/>
        <v>1</v>
      </c>
      <c r="I700">
        <f t="shared" si="43"/>
        <v>1</v>
      </c>
      <c r="J700" t="s">
        <v>583</v>
      </c>
      <c r="K700" t="s">
        <v>580</v>
      </c>
    </row>
    <row r="701" spans="1:13" x14ac:dyDescent="0.35">
      <c r="A701">
        <v>2025</v>
      </c>
      <c r="B701" t="s">
        <v>98</v>
      </c>
      <c r="C701" t="s">
        <v>99</v>
      </c>
      <c r="D701" t="s">
        <v>58</v>
      </c>
      <c r="E701" t="s">
        <v>143</v>
      </c>
      <c r="F701">
        <f t="shared" si="40"/>
        <v>0</v>
      </c>
      <c r="G701">
        <f t="shared" si="41"/>
        <v>0</v>
      </c>
      <c r="H701">
        <f t="shared" si="42"/>
        <v>0</v>
      </c>
      <c r="I701">
        <f t="shared" si="43"/>
        <v>0</v>
      </c>
      <c r="J701" t="s">
        <v>659</v>
      </c>
      <c r="K701" t="s">
        <v>585</v>
      </c>
      <c r="L701" t="s">
        <v>626</v>
      </c>
      <c r="M701" t="s">
        <v>674</v>
      </c>
    </row>
    <row r="702" spans="1:13" x14ac:dyDescent="0.35">
      <c r="A702">
        <v>2024</v>
      </c>
      <c r="B702" t="s">
        <v>98</v>
      </c>
      <c r="C702" t="s">
        <v>99</v>
      </c>
      <c r="D702" t="s">
        <v>58</v>
      </c>
      <c r="E702" t="s">
        <v>143</v>
      </c>
      <c r="F702">
        <f t="shared" si="40"/>
        <v>0</v>
      </c>
      <c r="G702">
        <f t="shared" si="41"/>
        <v>1</v>
      </c>
      <c r="H702">
        <f t="shared" si="42"/>
        <v>0</v>
      </c>
      <c r="I702">
        <f t="shared" si="43"/>
        <v>0</v>
      </c>
      <c r="J702" t="s">
        <v>659</v>
      </c>
      <c r="K702" t="s">
        <v>585</v>
      </c>
      <c r="L702" t="s">
        <v>626</v>
      </c>
      <c r="M702" t="s">
        <v>674</v>
      </c>
    </row>
    <row r="703" spans="1:13" x14ac:dyDescent="0.35">
      <c r="A703">
        <v>2023</v>
      </c>
      <c r="B703" t="s">
        <v>98</v>
      </c>
      <c r="C703" t="s">
        <v>99</v>
      </c>
      <c r="D703" t="s">
        <v>584</v>
      </c>
      <c r="E703" t="s">
        <v>143</v>
      </c>
      <c r="F703">
        <f t="shared" si="40"/>
        <v>0</v>
      </c>
      <c r="G703">
        <f t="shared" si="41"/>
        <v>0</v>
      </c>
      <c r="H703">
        <f t="shared" si="42"/>
        <v>0</v>
      </c>
      <c r="I703">
        <f t="shared" si="43"/>
        <v>0</v>
      </c>
      <c r="J703" t="s">
        <v>659</v>
      </c>
      <c r="K703" t="s">
        <v>585</v>
      </c>
      <c r="L703" t="s">
        <v>626</v>
      </c>
      <c r="M703" t="s">
        <v>674</v>
      </c>
    </row>
    <row r="704" spans="1:13" x14ac:dyDescent="0.35">
      <c r="A704">
        <v>2022</v>
      </c>
      <c r="B704" t="s">
        <v>98</v>
      </c>
      <c r="C704" t="s">
        <v>99</v>
      </c>
      <c r="D704" t="s">
        <v>584</v>
      </c>
      <c r="E704" t="s">
        <v>143</v>
      </c>
      <c r="F704">
        <f t="shared" si="40"/>
        <v>0</v>
      </c>
      <c r="G704">
        <f t="shared" si="41"/>
        <v>0</v>
      </c>
      <c r="H704">
        <f t="shared" si="42"/>
        <v>1</v>
      </c>
      <c r="I704">
        <f t="shared" si="43"/>
        <v>1</v>
      </c>
      <c r="J704" t="s">
        <v>659</v>
      </c>
      <c r="K704" t="s">
        <v>585</v>
      </c>
      <c r="L704" t="s">
        <v>626</v>
      </c>
      <c r="M704" t="s">
        <v>674</v>
      </c>
    </row>
    <row r="705" spans="1:13" x14ac:dyDescent="0.35">
      <c r="A705">
        <v>2021</v>
      </c>
      <c r="B705" t="s">
        <v>98</v>
      </c>
      <c r="C705" t="s">
        <v>99</v>
      </c>
      <c r="D705" t="s">
        <v>584</v>
      </c>
      <c r="E705" t="s">
        <v>101</v>
      </c>
      <c r="F705">
        <f t="shared" si="40"/>
        <v>0</v>
      </c>
      <c r="G705">
        <f t="shared" si="41"/>
        <v>1</v>
      </c>
      <c r="H705">
        <f t="shared" si="42"/>
        <v>0</v>
      </c>
      <c r="I705">
        <f t="shared" si="43"/>
        <v>0</v>
      </c>
      <c r="J705" t="s">
        <v>270</v>
      </c>
      <c r="K705" t="s">
        <v>585</v>
      </c>
      <c r="L705" t="s">
        <v>626</v>
      </c>
      <c r="M705" t="s">
        <v>674</v>
      </c>
    </row>
    <row r="706" spans="1:13" x14ac:dyDescent="0.35">
      <c r="A706">
        <v>2020</v>
      </c>
      <c r="B706" t="s">
        <v>98</v>
      </c>
      <c r="C706" t="s">
        <v>99</v>
      </c>
      <c r="D706" t="s">
        <v>100</v>
      </c>
      <c r="E706" t="s">
        <v>101</v>
      </c>
      <c r="F706">
        <f t="shared" ref="F706:F769" si="44">IF(C706=C707,0,1)</f>
        <v>0</v>
      </c>
      <c r="G706">
        <f t="shared" ref="G706:G769" si="45">IF(D706=D707,0,1)</f>
        <v>0</v>
      </c>
      <c r="H706">
        <f t="shared" ref="H706:H769" si="46">IF(E706=E707,0,1)</f>
        <v>0</v>
      </c>
      <c r="I706">
        <f t="shared" ref="I706:I769" si="47">IF(J706=J707,0,1)</f>
        <v>0</v>
      </c>
      <c r="J706" t="s">
        <v>270</v>
      </c>
      <c r="K706" t="s">
        <v>585</v>
      </c>
      <c r="L706" t="s">
        <v>626</v>
      </c>
      <c r="M706" t="s">
        <v>674</v>
      </c>
    </row>
    <row r="707" spans="1:13" x14ac:dyDescent="0.35">
      <c r="A707">
        <v>2019</v>
      </c>
      <c r="B707" t="s">
        <v>98</v>
      </c>
      <c r="C707" t="s">
        <v>99</v>
      </c>
      <c r="D707" t="s">
        <v>100</v>
      </c>
      <c r="E707" t="s">
        <v>101</v>
      </c>
      <c r="F707">
        <f t="shared" si="44"/>
        <v>0</v>
      </c>
      <c r="G707">
        <f t="shared" si="45"/>
        <v>1</v>
      </c>
      <c r="H707">
        <f t="shared" si="46"/>
        <v>0</v>
      </c>
      <c r="I707">
        <f t="shared" si="47"/>
        <v>0</v>
      </c>
      <c r="J707" t="s">
        <v>270</v>
      </c>
      <c r="K707" t="s">
        <v>585</v>
      </c>
      <c r="L707" t="s">
        <v>626</v>
      </c>
      <c r="M707" t="s">
        <v>674</v>
      </c>
    </row>
    <row r="708" spans="1:13" x14ac:dyDescent="0.35">
      <c r="A708">
        <v>2018</v>
      </c>
      <c r="B708" t="s">
        <v>98</v>
      </c>
      <c r="C708" t="s">
        <v>99</v>
      </c>
      <c r="D708" t="s">
        <v>102</v>
      </c>
      <c r="E708" t="s">
        <v>101</v>
      </c>
      <c r="F708">
        <f t="shared" si="44"/>
        <v>0</v>
      </c>
      <c r="G708">
        <f t="shared" si="45"/>
        <v>0</v>
      </c>
      <c r="H708">
        <f t="shared" si="46"/>
        <v>0</v>
      </c>
      <c r="I708">
        <f t="shared" si="47"/>
        <v>0</v>
      </c>
      <c r="J708" t="s">
        <v>270</v>
      </c>
      <c r="K708" t="s">
        <v>585</v>
      </c>
      <c r="L708" t="s">
        <v>622</v>
      </c>
      <c r="M708" t="s">
        <v>674</v>
      </c>
    </row>
    <row r="709" spans="1:13" x14ac:dyDescent="0.35">
      <c r="A709">
        <v>2017</v>
      </c>
      <c r="B709" t="s">
        <v>98</v>
      </c>
      <c r="C709" t="s">
        <v>99</v>
      </c>
      <c r="D709" t="s">
        <v>102</v>
      </c>
      <c r="E709" t="s">
        <v>101</v>
      </c>
      <c r="F709">
        <f t="shared" si="44"/>
        <v>0</v>
      </c>
      <c r="G709">
        <f t="shared" si="45"/>
        <v>0</v>
      </c>
      <c r="H709">
        <f t="shared" si="46"/>
        <v>0</v>
      </c>
      <c r="I709">
        <f t="shared" si="47"/>
        <v>0</v>
      </c>
      <c r="J709" t="s">
        <v>270</v>
      </c>
      <c r="K709" t="s">
        <v>585</v>
      </c>
      <c r="L709" t="s">
        <v>622</v>
      </c>
      <c r="M709" t="s">
        <v>674</v>
      </c>
    </row>
    <row r="710" spans="1:13" x14ac:dyDescent="0.35">
      <c r="A710">
        <v>2016</v>
      </c>
      <c r="B710" t="s">
        <v>98</v>
      </c>
      <c r="C710" t="s">
        <v>99</v>
      </c>
      <c r="D710" t="s">
        <v>102</v>
      </c>
      <c r="E710" t="s">
        <v>101</v>
      </c>
      <c r="F710">
        <f t="shared" si="44"/>
        <v>0</v>
      </c>
      <c r="G710">
        <f t="shared" si="45"/>
        <v>0</v>
      </c>
      <c r="H710">
        <f t="shared" si="46"/>
        <v>0</v>
      </c>
      <c r="I710">
        <f t="shared" si="47"/>
        <v>0</v>
      </c>
      <c r="J710" t="s">
        <v>270</v>
      </c>
      <c r="K710" t="s">
        <v>585</v>
      </c>
      <c r="L710" t="s">
        <v>622</v>
      </c>
      <c r="M710" t="s">
        <v>674</v>
      </c>
    </row>
    <row r="711" spans="1:13" x14ac:dyDescent="0.35">
      <c r="A711">
        <v>2015</v>
      </c>
      <c r="B711" t="s">
        <v>98</v>
      </c>
      <c r="C711" t="s">
        <v>99</v>
      </c>
      <c r="D711" t="s">
        <v>102</v>
      </c>
      <c r="E711" t="s">
        <v>101</v>
      </c>
      <c r="F711">
        <f t="shared" si="44"/>
        <v>0</v>
      </c>
      <c r="G711">
        <f t="shared" si="45"/>
        <v>0</v>
      </c>
      <c r="H711">
        <f t="shared" si="46"/>
        <v>1</v>
      </c>
      <c r="I711">
        <f t="shared" si="47"/>
        <v>0</v>
      </c>
      <c r="J711" t="s">
        <v>270</v>
      </c>
      <c r="K711" t="s">
        <v>585</v>
      </c>
      <c r="L711" t="s">
        <v>622</v>
      </c>
      <c r="M711" t="s">
        <v>674</v>
      </c>
    </row>
    <row r="712" spans="1:13" x14ac:dyDescent="0.35">
      <c r="A712">
        <v>2014</v>
      </c>
      <c r="B712" t="s">
        <v>98</v>
      </c>
      <c r="C712" t="s">
        <v>99</v>
      </c>
      <c r="D712" t="s">
        <v>102</v>
      </c>
      <c r="E712" t="s">
        <v>63</v>
      </c>
      <c r="F712">
        <f t="shared" si="44"/>
        <v>0</v>
      </c>
      <c r="G712">
        <f t="shared" si="45"/>
        <v>0</v>
      </c>
      <c r="H712">
        <f t="shared" si="46"/>
        <v>0</v>
      </c>
      <c r="I712">
        <f t="shared" si="47"/>
        <v>0</v>
      </c>
      <c r="J712" t="s">
        <v>270</v>
      </c>
      <c r="K712" t="s">
        <v>585</v>
      </c>
      <c r="L712" t="s">
        <v>622</v>
      </c>
      <c r="M712" t="s">
        <v>669</v>
      </c>
    </row>
    <row r="713" spans="1:13" x14ac:dyDescent="0.35">
      <c r="A713">
        <v>2013</v>
      </c>
      <c r="B713" t="s">
        <v>98</v>
      </c>
      <c r="C713" t="s">
        <v>99</v>
      </c>
      <c r="D713" t="s">
        <v>102</v>
      </c>
      <c r="E713" t="s">
        <v>63</v>
      </c>
      <c r="F713">
        <f t="shared" si="44"/>
        <v>0</v>
      </c>
      <c r="G713">
        <f t="shared" si="45"/>
        <v>0</v>
      </c>
      <c r="H713">
        <f t="shared" si="46"/>
        <v>0</v>
      </c>
      <c r="I713">
        <f t="shared" si="47"/>
        <v>0</v>
      </c>
      <c r="J713" t="s">
        <v>270</v>
      </c>
      <c r="K713" t="s">
        <v>585</v>
      </c>
      <c r="L713" t="s">
        <v>622</v>
      </c>
      <c r="M713" t="s">
        <v>669</v>
      </c>
    </row>
    <row r="714" spans="1:13" x14ac:dyDescent="0.35">
      <c r="A714">
        <v>2012</v>
      </c>
      <c r="B714" t="s">
        <v>98</v>
      </c>
      <c r="C714" t="s">
        <v>99</v>
      </c>
      <c r="D714" t="s">
        <v>102</v>
      </c>
      <c r="E714" t="s">
        <v>63</v>
      </c>
      <c r="F714">
        <f t="shared" si="44"/>
        <v>0</v>
      </c>
      <c r="G714">
        <f t="shared" si="45"/>
        <v>1</v>
      </c>
      <c r="H714">
        <f t="shared" si="46"/>
        <v>0</v>
      </c>
      <c r="I714">
        <f t="shared" si="47"/>
        <v>0</v>
      </c>
      <c r="J714" t="s">
        <v>270</v>
      </c>
      <c r="K714" t="s">
        <v>585</v>
      </c>
      <c r="L714" t="s">
        <v>622</v>
      </c>
      <c r="M714" t="s">
        <v>669</v>
      </c>
    </row>
    <row r="715" spans="1:13" x14ac:dyDescent="0.35">
      <c r="A715">
        <v>2011</v>
      </c>
      <c r="B715" t="s">
        <v>98</v>
      </c>
      <c r="C715" t="s">
        <v>99</v>
      </c>
      <c r="D715" t="s">
        <v>78</v>
      </c>
      <c r="E715" t="s">
        <v>63</v>
      </c>
      <c r="F715">
        <f t="shared" si="44"/>
        <v>0</v>
      </c>
      <c r="G715">
        <f t="shared" si="45"/>
        <v>0</v>
      </c>
      <c r="H715">
        <f t="shared" si="46"/>
        <v>0</v>
      </c>
      <c r="I715">
        <f t="shared" si="47"/>
        <v>0</v>
      </c>
      <c r="J715" t="s">
        <v>270</v>
      </c>
      <c r="K715" t="s">
        <v>585</v>
      </c>
      <c r="L715" t="s">
        <v>622</v>
      </c>
      <c r="M715" t="s">
        <v>669</v>
      </c>
    </row>
    <row r="716" spans="1:13" hidden="1" x14ac:dyDescent="0.35">
      <c r="A716">
        <v>2010</v>
      </c>
      <c r="B716" t="s">
        <v>98</v>
      </c>
      <c r="C716" t="s">
        <v>99</v>
      </c>
      <c r="D716" t="s">
        <v>78</v>
      </c>
      <c r="E716" t="s">
        <v>63</v>
      </c>
      <c r="F716">
        <f t="shared" si="44"/>
        <v>0</v>
      </c>
      <c r="G716">
        <f t="shared" si="45"/>
        <v>0</v>
      </c>
      <c r="H716">
        <f t="shared" si="46"/>
        <v>0</v>
      </c>
      <c r="I716">
        <f t="shared" si="47"/>
        <v>0</v>
      </c>
      <c r="J716" t="s">
        <v>270</v>
      </c>
      <c r="K716" t="s">
        <v>585</v>
      </c>
      <c r="L716" t="s">
        <v>622</v>
      </c>
      <c r="M716" t="s">
        <v>669</v>
      </c>
    </row>
    <row r="717" spans="1:13" hidden="1" x14ac:dyDescent="0.35">
      <c r="A717">
        <v>2009</v>
      </c>
      <c r="B717" t="s">
        <v>98</v>
      </c>
      <c r="C717" t="s">
        <v>99</v>
      </c>
      <c r="D717" t="s">
        <v>78</v>
      </c>
      <c r="E717" t="s">
        <v>63</v>
      </c>
      <c r="F717">
        <f t="shared" si="44"/>
        <v>0</v>
      </c>
      <c r="G717">
        <f t="shared" si="45"/>
        <v>0</v>
      </c>
      <c r="H717">
        <f t="shared" si="46"/>
        <v>0</v>
      </c>
      <c r="I717">
        <f t="shared" si="47"/>
        <v>0</v>
      </c>
      <c r="J717" t="s">
        <v>270</v>
      </c>
      <c r="K717" t="s">
        <v>585</v>
      </c>
      <c r="L717" t="s">
        <v>622</v>
      </c>
    </row>
    <row r="718" spans="1:13" hidden="1" x14ac:dyDescent="0.35">
      <c r="A718">
        <v>2008</v>
      </c>
      <c r="B718" t="s">
        <v>98</v>
      </c>
      <c r="C718" t="s">
        <v>99</v>
      </c>
      <c r="D718" t="s">
        <v>78</v>
      </c>
      <c r="E718" t="s">
        <v>63</v>
      </c>
      <c r="F718">
        <f t="shared" si="44"/>
        <v>0</v>
      </c>
      <c r="G718">
        <f t="shared" si="45"/>
        <v>0</v>
      </c>
      <c r="H718">
        <f t="shared" si="46"/>
        <v>0</v>
      </c>
      <c r="I718">
        <f t="shared" si="47"/>
        <v>0</v>
      </c>
      <c r="J718" t="s">
        <v>270</v>
      </c>
      <c r="K718" t="s">
        <v>585</v>
      </c>
      <c r="L718" t="s">
        <v>622</v>
      </c>
    </row>
    <row r="719" spans="1:13" hidden="1" x14ac:dyDescent="0.35">
      <c r="A719">
        <v>2007</v>
      </c>
      <c r="B719" t="s">
        <v>98</v>
      </c>
      <c r="C719" t="s">
        <v>99</v>
      </c>
      <c r="D719" t="s">
        <v>78</v>
      </c>
      <c r="E719" t="s">
        <v>63</v>
      </c>
      <c r="F719">
        <f t="shared" si="44"/>
        <v>1</v>
      </c>
      <c r="G719">
        <f t="shared" si="45"/>
        <v>1</v>
      </c>
      <c r="H719">
        <f t="shared" si="46"/>
        <v>0</v>
      </c>
      <c r="I719">
        <f t="shared" si="47"/>
        <v>0</v>
      </c>
      <c r="J719" t="s">
        <v>270</v>
      </c>
      <c r="K719" t="s">
        <v>585</v>
      </c>
      <c r="L719" t="s">
        <v>622</v>
      </c>
    </row>
    <row r="720" spans="1:13" hidden="1" x14ac:dyDescent="0.35">
      <c r="A720">
        <v>2006</v>
      </c>
      <c r="B720" t="s">
        <v>98</v>
      </c>
      <c r="C720" t="s">
        <v>586</v>
      </c>
      <c r="D720" t="s">
        <v>64</v>
      </c>
      <c r="E720" t="s">
        <v>63</v>
      </c>
      <c r="F720">
        <f t="shared" si="44"/>
        <v>0</v>
      </c>
      <c r="G720">
        <f t="shared" si="45"/>
        <v>0</v>
      </c>
      <c r="H720">
        <f t="shared" si="46"/>
        <v>0</v>
      </c>
      <c r="I720">
        <f t="shared" si="47"/>
        <v>0</v>
      </c>
      <c r="J720" t="s">
        <v>270</v>
      </c>
      <c r="K720" t="s">
        <v>585</v>
      </c>
      <c r="L720" t="s">
        <v>623</v>
      </c>
    </row>
    <row r="721" spans="1:13" hidden="1" x14ac:dyDescent="0.35">
      <c r="A721">
        <v>2005</v>
      </c>
      <c r="B721" t="s">
        <v>98</v>
      </c>
      <c r="C721" t="s">
        <v>586</v>
      </c>
      <c r="D721" t="s">
        <v>64</v>
      </c>
      <c r="E721" t="s">
        <v>63</v>
      </c>
      <c r="F721">
        <f t="shared" si="44"/>
        <v>0</v>
      </c>
      <c r="G721">
        <f t="shared" si="45"/>
        <v>0</v>
      </c>
      <c r="H721">
        <f t="shared" si="46"/>
        <v>0</v>
      </c>
      <c r="I721">
        <f t="shared" si="47"/>
        <v>0</v>
      </c>
      <c r="J721" t="s">
        <v>270</v>
      </c>
      <c r="K721" t="s">
        <v>585</v>
      </c>
      <c r="L721" t="s">
        <v>623</v>
      </c>
    </row>
    <row r="722" spans="1:13" hidden="1" x14ac:dyDescent="0.35">
      <c r="A722">
        <v>2004</v>
      </c>
      <c r="B722" t="s">
        <v>98</v>
      </c>
      <c r="C722" t="s">
        <v>586</v>
      </c>
      <c r="D722" t="s">
        <v>64</v>
      </c>
      <c r="E722" t="s">
        <v>63</v>
      </c>
      <c r="F722">
        <f t="shared" si="44"/>
        <v>0</v>
      </c>
      <c r="G722">
        <f t="shared" si="45"/>
        <v>1</v>
      </c>
      <c r="H722">
        <f t="shared" si="46"/>
        <v>1</v>
      </c>
      <c r="I722">
        <f t="shared" si="47"/>
        <v>0</v>
      </c>
      <c r="J722" t="s">
        <v>270</v>
      </c>
      <c r="K722" t="s">
        <v>585</v>
      </c>
      <c r="L722" t="s">
        <v>623</v>
      </c>
    </row>
    <row r="723" spans="1:13" hidden="1" x14ac:dyDescent="0.35">
      <c r="A723">
        <v>2003</v>
      </c>
      <c r="B723" t="s">
        <v>98</v>
      </c>
      <c r="C723" t="s">
        <v>586</v>
      </c>
      <c r="D723" t="s">
        <v>61</v>
      </c>
      <c r="E723" t="s">
        <v>569</v>
      </c>
      <c r="F723">
        <f t="shared" si="44"/>
        <v>0</v>
      </c>
      <c r="G723">
        <f t="shared" si="45"/>
        <v>0</v>
      </c>
      <c r="H723">
        <f t="shared" si="46"/>
        <v>0</v>
      </c>
      <c r="I723">
        <f t="shared" si="47"/>
        <v>0</v>
      </c>
      <c r="J723" t="s">
        <v>270</v>
      </c>
      <c r="K723" t="s">
        <v>585</v>
      </c>
    </row>
    <row r="724" spans="1:13" hidden="1" x14ac:dyDescent="0.35">
      <c r="A724">
        <v>2002</v>
      </c>
      <c r="B724" t="s">
        <v>98</v>
      </c>
      <c r="C724" t="s">
        <v>586</v>
      </c>
      <c r="D724" t="s">
        <v>61</v>
      </c>
      <c r="E724" t="s">
        <v>569</v>
      </c>
      <c r="F724">
        <f t="shared" si="44"/>
        <v>0</v>
      </c>
      <c r="G724">
        <f t="shared" si="45"/>
        <v>0</v>
      </c>
      <c r="H724">
        <f t="shared" si="46"/>
        <v>0</v>
      </c>
      <c r="I724">
        <f t="shared" si="47"/>
        <v>0</v>
      </c>
      <c r="J724" t="s">
        <v>270</v>
      </c>
      <c r="K724" t="s">
        <v>585</v>
      </c>
    </row>
    <row r="725" spans="1:13" hidden="1" x14ac:dyDescent="0.35">
      <c r="A725">
        <v>2001</v>
      </c>
      <c r="B725" t="s">
        <v>98</v>
      </c>
      <c r="C725" t="s">
        <v>586</v>
      </c>
      <c r="D725" t="s">
        <v>61</v>
      </c>
      <c r="E725" t="s">
        <v>569</v>
      </c>
      <c r="F725">
        <f t="shared" si="44"/>
        <v>0</v>
      </c>
      <c r="G725">
        <f t="shared" si="45"/>
        <v>1</v>
      </c>
      <c r="H725">
        <f t="shared" si="46"/>
        <v>0</v>
      </c>
      <c r="I725">
        <f t="shared" si="47"/>
        <v>0</v>
      </c>
      <c r="J725" t="s">
        <v>270</v>
      </c>
      <c r="K725" t="s">
        <v>585</v>
      </c>
    </row>
    <row r="726" spans="1:13" hidden="1" x14ac:dyDescent="0.35">
      <c r="A726">
        <v>2000</v>
      </c>
      <c r="B726" t="s">
        <v>98</v>
      </c>
      <c r="C726" t="s">
        <v>586</v>
      </c>
      <c r="D726" t="s">
        <v>208</v>
      </c>
      <c r="E726" t="s">
        <v>569</v>
      </c>
      <c r="F726">
        <f t="shared" si="44"/>
        <v>0</v>
      </c>
      <c r="G726">
        <f t="shared" si="45"/>
        <v>0</v>
      </c>
      <c r="H726">
        <f t="shared" si="46"/>
        <v>1</v>
      </c>
      <c r="I726">
        <f t="shared" si="47"/>
        <v>1</v>
      </c>
      <c r="J726" t="s">
        <v>270</v>
      </c>
      <c r="K726" t="s">
        <v>585</v>
      </c>
      <c r="L726" t="s">
        <v>207</v>
      </c>
    </row>
    <row r="727" spans="1:13" hidden="1" x14ac:dyDescent="0.35">
      <c r="A727">
        <v>1999</v>
      </c>
      <c r="B727" t="s">
        <v>98</v>
      </c>
      <c r="C727" t="s">
        <v>586</v>
      </c>
      <c r="D727" t="s">
        <v>208</v>
      </c>
      <c r="E727" t="s">
        <v>215</v>
      </c>
      <c r="F727">
        <f t="shared" si="44"/>
        <v>1</v>
      </c>
      <c r="G727">
        <f t="shared" si="45"/>
        <v>1</v>
      </c>
      <c r="H727">
        <f t="shared" si="46"/>
        <v>1</v>
      </c>
      <c r="I727">
        <f t="shared" si="47"/>
        <v>1</v>
      </c>
      <c r="J727" t="s">
        <v>419</v>
      </c>
      <c r="K727" t="s">
        <v>585</v>
      </c>
      <c r="L727" t="s">
        <v>207</v>
      </c>
    </row>
    <row r="728" spans="1:13" x14ac:dyDescent="0.35">
      <c r="A728">
        <v>2025</v>
      </c>
      <c r="B728" t="s">
        <v>183</v>
      </c>
      <c r="C728" t="s">
        <v>644</v>
      </c>
      <c r="D728" t="s">
        <v>544</v>
      </c>
      <c r="E728" t="s">
        <v>644</v>
      </c>
      <c r="F728">
        <f t="shared" si="44"/>
        <v>0</v>
      </c>
      <c r="G728">
        <f t="shared" si="45"/>
        <v>1</v>
      </c>
      <c r="H728">
        <f t="shared" si="46"/>
        <v>0</v>
      </c>
      <c r="I728">
        <f t="shared" si="47"/>
        <v>0</v>
      </c>
      <c r="J728" t="s">
        <v>686</v>
      </c>
      <c r="K728" t="s">
        <v>588</v>
      </c>
      <c r="L728" t="s">
        <v>631</v>
      </c>
      <c r="M728" t="s">
        <v>669</v>
      </c>
    </row>
    <row r="729" spans="1:13" x14ac:dyDescent="0.35">
      <c r="A729">
        <v>2024</v>
      </c>
      <c r="B729" t="s">
        <v>183</v>
      </c>
      <c r="C729" t="s">
        <v>644</v>
      </c>
      <c r="D729" t="s">
        <v>679</v>
      </c>
      <c r="E729" t="s">
        <v>644</v>
      </c>
      <c r="F729">
        <f t="shared" si="44"/>
        <v>1</v>
      </c>
      <c r="G729">
        <f t="shared" si="45"/>
        <v>1</v>
      </c>
      <c r="H729">
        <f t="shared" si="46"/>
        <v>1</v>
      </c>
      <c r="I729">
        <f t="shared" si="47"/>
        <v>0</v>
      </c>
      <c r="J729" t="s">
        <v>686</v>
      </c>
      <c r="K729" t="s">
        <v>588</v>
      </c>
      <c r="L729" t="s">
        <v>631</v>
      </c>
      <c r="M729" t="s">
        <v>669</v>
      </c>
    </row>
    <row r="730" spans="1:13" x14ac:dyDescent="0.35">
      <c r="A730">
        <v>2023</v>
      </c>
      <c r="B730" t="s">
        <v>183</v>
      </c>
      <c r="C730" t="s">
        <v>224</v>
      </c>
      <c r="D730" t="s">
        <v>587</v>
      </c>
      <c r="E730" t="s">
        <v>650</v>
      </c>
      <c r="F730">
        <f t="shared" si="44"/>
        <v>0</v>
      </c>
      <c r="G730">
        <f t="shared" si="45"/>
        <v>0</v>
      </c>
      <c r="H730">
        <f t="shared" si="46"/>
        <v>0</v>
      </c>
      <c r="I730">
        <f t="shared" si="47"/>
        <v>0</v>
      </c>
      <c r="J730" t="s">
        <v>686</v>
      </c>
      <c r="K730" t="s">
        <v>588</v>
      </c>
      <c r="L730" t="s">
        <v>626</v>
      </c>
      <c r="M730" t="s">
        <v>669</v>
      </c>
    </row>
    <row r="731" spans="1:13" x14ac:dyDescent="0.35">
      <c r="A731">
        <v>2022</v>
      </c>
      <c r="B731" t="s">
        <v>183</v>
      </c>
      <c r="C731" t="s">
        <v>224</v>
      </c>
      <c r="D731" t="s">
        <v>587</v>
      </c>
      <c r="E731" t="s">
        <v>650</v>
      </c>
      <c r="F731">
        <f t="shared" si="44"/>
        <v>0</v>
      </c>
      <c r="G731">
        <f t="shared" si="45"/>
        <v>0</v>
      </c>
      <c r="H731">
        <f t="shared" si="46"/>
        <v>1</v>
      </c>
      <c r="I731">
        <f t="shared" si="47"/>
        <v>0</v>
      </c>
      <c r="J731" t="s">
        <v>686</v>
      </c>
      <c r="K731" t="s">
        <v>588</v>
      </c>
      <c r="L731" t="s">
        <v>626</v>
      </c>
      <c r="M731" t="s">
        <v>669</v>
      </c>
    </row>
    <row r="732" spans="1:13" x14ac:dyDescent="0.35">
      <c r="A732">
        <v>2021</v>
      </c>
      <c r="B732" t="s">
        <v>183</v>
      </c>
      <c r="C732" t="s">
        <v>224</v>
      </c>
      <c r="D732" t="s">
        <v>587</v>
      </c>
      <c r="E732" t="s">
        <v>161</v>
      </c>
      <c r="F732">
        <f t="shared" si="44"/>
        <v>0</v>
      </c>
      <c r="G732">
        <f t="shared" si="45"/>
        <v>1</v>
      </c>
      <c r="H732">
        <f t="shared" si="46"/>
        <v>0</v>
      </c>
      <c r="I732">
        <f t="shared" si="47"/>
        <v>0</v>
      </c>
      <c r="J732" t="s">
        <v>686</v>
      </c>
      <c r="K732" t="s">
        <v>588</v>
      </c>
      <c r="L732" t="s">
        <v>626</v>
      </c>
      <c r="M732" t="s">
        <v>673</v>
      </c>
    </row>
    <row r="733" spans="1:13" x14ac:dyDescent="0.35">
      <c r="A733">
        <v>2020</v>
      </c>
      <c r="B733" t="s">
        <v>183</v>
      </c>
      <c r="C733" t="s">
        <v>224</v>
      </c>
      <c r="D733" t="s">
        <v>56</v>
      </c>
      <c r="E733" t="s">
        <v>161</v>
      </c>
      <c r="F733">
        <f t="shared" si="44"/>
        <v>0</v>
      </c>
      <c r="G733">
        <f t="shared" si="45"/>
        <v>0</v>
      </c>
      <c r="H733">
        <f t="shared" si="46"/>
        <v>0</v>
      </c>
      <c r="I733">
        <f t="shared" si="47"/>
        <v>0</v>
      </c>
      <c r="J733" t="s">
        <v>686</v>
      </c>
      <c r="K733" t="s">
        <v>588</v>
      </c>
      <c r="L733" t="s">
        <v>626</v>
      </c>
      <c r="M733" t="s">
        <v>673</v>
      </c>
    </row>
    <row r="734" spans="1:13" x14ac:dyDescent="0.35">
      <c r="A734">
        <v>2019</v>
      </c>
      <c r="B734" t="s">
        <v>183</v>
      </c>
      <c r="C734" t="s">
        <v>224</v>
      </c>
      <c r="D734" t="s">
        <v>56</v>
      </c>
      <c r="E734" t="s">
        <v>161</v>
      </c>
      <c r="F734">
        <f t="shared" si="44"/>
        <v>0</v>
      </c>
      <c r="G734">
        <f t="shared" si="45"/>
        <v>0</v>
      </c>
      <c r="H734">
        <f t="shared" si="46"/>
        <v>0</v>
      </c>
      <c r="I734">
        <f t="shared" si="47"/>
        <v>0</v>
      </c>
      <c r="J734" t="s">
        <v>686</v>
      </c>
      <c r="K734" t="s">
        <v>588</v>
      </c>
      <c r="L734" t="s">
        <v>626</v>
      </c>
      <c r="M734" t="s">
        <v>673</v>
      </c>
    </row>
    <row r="735" spans="1:13" x14ac:dyDescent="0.35">
      <c r="A735">
        <v>2018</v>
      </c>
      <c r="B735" t="s">
        <v>183</v>
      </c>
      <c r="C735" t="s">
        <v>224</v>
      </c>
      <c r="D735" t="s">
        <v>56</v>
      </c>
      <c r="E735" t="s">
        <v>161</v>
      </c>
      <c r="F735">
        <f t="shared" si="44"/>
        <v>0</v>
      </c>
      <c r="G735">
        <f t="shared" si="45"/>
        <v>1</v>
      </c>
      <c r="H735">
        <f t="shared" si="46"/>
        <v>1</v>
      </c>
      <c r="I735">
        <f t="shared" si="47"/>
        <v>0</v>
      </c>
      <c r="J735" t="s">
        <v>686</v>
      </c>
      <c r="K735" t="s">
        <v>589</v>
      </c>
      <c r="L735" t="s">
        <v>626</v>
      </c>
      <c r="M735" t="s">
        <v>673</v>
      </c>
    </row>
    <row r="736" spans="1:13" x14ac:dyDescent="0.35">
      <c r="A736">
        <v>2017</v>
      </c>
      <c r="B736" t="s">
        <v>183</v>
      </c>
      <c r="C736" t="s">
        <v>224</v>
      </c>
      <c r="D736" t="s">
        <v>216</v>
      </c>
      <c r="E736" t="s">
        <v>225</v>
      </c>
      <c r="F736">
        <f t="shared" si="44"/>
        <v>0</v>
      </c>
      <c r="G736">
        <f t="shared" si="45"/>
        <v>0</v>
      </c>
      <c r="H736">
        <f t="shared" si="46"/>
        <v>0</v>
      </c>
      <c r="I736">
        <f t="shared" si="47"/>
        <v>0</v>
      </c>
      <c r="J736" t="s">
        <v>686</v>
      </c>
      <c r="K736" t="s">
        <v>589</v>
      </c>
      <c r="L736" t="s">
        <v>626</v>
      </c>
      <c r="M736" t="s">
        <v>673</v>
      </c>
    </row>
    <row r="737" spans="1:13" x14ac:dyDescent="0.35">
      <c r="A737">
        <v>2016</v>
      </c>
      <c r="B737" t="s">
        <v>183</v>
      </c>
      <c r="C737" t="s">
        <v>224</v>
      </c>
      <c r="D737" t="s">
        <v>216</v>
      </c>
      <c r="E737" t="s">
        <v>225</v>
      </c>
      <c r="F737">
        <f t="shared" si="44"/>
        <v>0</v>
      </c>
      <c r="G737">
        <f t="shared" si="45"/>
        <v>0</v>
      </c>
      <c r="H737">
        <f t="shared" si="46"/>
        <v>0</v>
      </c>
      <c r="I737">
        <f t="shared" si="47"/>
        <v>0</v>
      </c>
      <c r="J737" t="s">
        <v>686</v>
      </c>
      <c r="K737" t="s">
        <v>589</v>
      </c>
      <c r="L737" t="s">
        <v>626</v>
      </c>
      <c r="M737" t="s">
        <v>673</v>
      </c>
    </row>
    <row r="738" spans="1:13" x14ac:dyDescent="0.35">
      <c r="A738">
        <v>2015</v>
      </c>
      <c r="B738" t="s">
        <v>183</v>
      </c>
      <c r="C738" t="s">
        <v>224</v>
      </c>
      <c r="D738" t="s">
        <v>216</v>
      </c>
      <c r="E738" t="s">
        <v>225</v>
      </c>
      <c r="F738">
        <f t="shared" si="44"/>
        <v>0</v>
      </c>
      <c r="G738">
        <f t="shared" si="45"/>
        <v>0</v>
      </c>
      <c r="H738">
        <f t="shared" si="46"/>
        <v>1</v>
      </c>
      <c r="I738">
        <f t="shared" si="47"/>
        <v>0</v>
      </c>
      <c r="J738" t="s">
        <v>686</v>
      </c>
      <c r="K738" t="s">
        <v>589</v>
      </c>
      <c r="L738" t="s">
        <v>626</v>
      </c>
      <c r="M738" t="s">
        <v>673</v>
      </c>
    </row>
    <row r="739" spans="1:13" x14ac:dyDescent="0.35">
      <c r="A739">
        <v>2014</v>
      </c>
      <c r="B739" t="s">
        <v>183</v>
      </c>
      <c r="C739" t="s">
        <v>224</v>
      </c>
      <c r="D739" t="s">
        <v>216</v>
      </c>
      <c r="E739" t="s">
        <v>226</v>
      </c>
      <c r="F739">
        <f t="shared" si="44"/>
        <v>0</v>
      </c>
      <c r="G739">
        <f t="shared" si="45"/>
        <v>0</v>
      </c>
      <c r="H739">
        <f t="shared" si="46"/>
        <v>0</v>
      </c>
      <c r="I739">
        <f t="shared" si="47"/>
        <v>0</v>
      </c>
      <c r="J739" t="s">
        <v>686</v>
      </c>
      <c r="K739" t="s">
        <v>589</v>
      </c>
      <c r="L739" t="s">
        <v>626</v>
      </c>
      <c r="M739" t="s">
        <v>673</v>
      </c>
    </row>
    <row r="740" spans="1:13" x14ac:dyDescent="0.35">
      <c r="A740">
        <v>2013</v>
      </c>
      <c r="B740" t="s">
        <v>183</v>
      </c>
      <c r="C740" t="s">
        <v>224</v>
      </c>
      <c r="D740" t="s">
        <v>216</v>
      </c>
      <c r="E740" t="s">
        <v>226</v>
      </c>
      <c r="F740">
        <f t="shared" si="44"/>
        <v>0</v>
      </c>
      <c r="G740">
        <f t="shared" si="45"/>
        <v>0</v>
      </c>
      <c r="H740">
        <f t="shared" si="46"/>
        <v>1</v>
      </c>
      <c r="I740">
        <f t="shared" si="47"/>
        <v>0</v>
      </c>
      <c r="J740" t="s">
        <v>686</v>
      </c>
      <c r="K740" t="s">
        <v>589</v>
      </c>
      <c r="L740" t="s">
        <v>626</v>
      </c>
      <c r="M740" t="s">
        <v>673</v>
      </c>
    </row>
    <row r="741" spans="1:13" x14ac:dyDescent="0.35">
      <c r="A741">
        <v>2012</v>
      </c>
      <c r="B741" t="s">
        <v>183</v>
      </c>
      <c r="C741" t="s">
        <v>224</v>
      </c>
      <c r="D741" t="s">
        <v>216</v>
      </c>
      <c r="E741" t="s">
        <v>84</v>
      </c>
      <c r="F741">
        <f t="shared" si="44"/>
        <v>0</v>
      </c>
      <c r="G741">
        <f t="shared" si="45"/>
        <v>0</v>
      </c>
      <c r="H741">
        <f t="shared" si="46"/>
        <v>0</v>
      </c>
      <c r="I741">
        <f t="shared" si="47"/>
        <v>0</v>
      </c>
      <c r="J741" t="s">
        <v>686</v>
      </c>
      <c r="K741" t="s">
        <v>589</v>
      </c>
      <c r="L741" t="s">
        <v>626</v>
      </c>
      <c r="M741" t="s">
        <v>673</v>
      </c>
    </row>
    <row r="742" spans="1:13" x14ac:dyDescent="0.35">
      <c r="A742">
        <v>2011</v>
      </c>
      <c r="B742" t="s">
        <v>183</v>
      </c>
      <c r="C742" t="s">
        <v>224</v>
      </c>
      <c r="D742" t="s">
        <v>216</v>
      </c>
      <c r="E742" t="s">
        <v>84</v>
      </c>
      <c r="F742">
        <f t="shared" si="44"/>
        <v>0</v>
      </c>
      <c r="G742">
        <f t="shared" si="45"/>
        <v>1</v>
      </c>
      <c r="H742">
        <f t="shared" si="46"/>
        <v>0</v>
      </c>
      <c r="I742">
        <f t="shared" si="47"/>
        <v>0</v>
      </c>
      <c r="J742" t="s">
        <v>686</v>
      </c>
      <c r="K742" t="s">
        <v>589</v>
      </c>
      <c r="L742" t="s">
        <v>626</v>
      </c>
      <c r="M742" t="s">
        <v>673</v>
      </c>
    </row>
    <row r="743" spans="1:13" hidden="1" x14ac:dyDescent="0.35">
      <c r="A743">
        <v>2010</v>
      </c>
      <c r="B743" t="s">
        <v>183</v>
      </c>
      <c r="C743" t="s">
        <v>224</v>
      </c>
      <c r="D743" t="s">
        <v>51</v>
      </c>
      <c r="E743" t="s">
        <v>84</v>
      </c>
      <c r="F743">
        <f t="shared" si="44"/>
        <v>1</v>
      </c>
      <c r="G743">
        <f t="shared" si="45"/>
        <v>1</v>
      </c>
      <c r="H743">
        <f t="shared" si="46"/>
        <v>0</v>
      </c>
      <c r="I743">
        <f t="shared" si="47"/>
        <v>1</v>
      </c>
      <c r="J743" t="s">
        <v>686</v>
      </c>
      <c r="K743" t="s">
        <v>589</v>
      </c>
      <c r="L743" t="s">
        <v>626</v>
      </c>
      <c r="M743" t="s">
        <v>673</v>
      </c>
    </row>
    <row r="744" spans="1:13" hidden="1" x14ac:dyDescent="0.35">
      <c r="A744">
        <v>2009</v>
      </c>
      <c r="B744" t="s">
        <v>183</v>
      </c>
      <c r="C744" t="s">
        <v>395</v>
      </c>
      <c r="D744" t="s">
        <v>160</v>
      </c>
      <c r="E744" t="s">
        <v>84</v>
      </c>
      <c r="F744">
        <f t="shared" si="44"/>
        <v>1</v>
      </c>
      <c r="G744">
        <f t="shared" si="45"/>
        <v>1</v>
      </c>
      <c r="H744">
        <f t="shared" si="46"/>
        <v>1</v>
      </c>
      <c r="I744">
        <f t="shared" si="47"/>
        <v>0</v>
      </c>
      <c r="J744" t="s">
        <v>590</v>
      </c>
      <c r="K744" t="s">
        <v>589</v>
      </c>
      <c r="L744" t="s">
        <v>621</v>
      </c>
    </row>
    <row r="745" spans="1:13" hidden="1" x14ac:dyDescent="0.35">
      <c r="A745">
        <v>2008</v>
      </c>
      <c r="B745" t="s">
        <v>183</v>
      </c>
      <c r="C745" t="s">
        <v>591</v>
      </c>
      <c r="D745" t="s">
        <v>430</v>
      </c>
      <c r="E745" t="s">
        <v>164</v>
      </c>
      <c r="F745">
        <f t="shared" si="44"/>
        <v>0</v>
      </c>
      <c r="G745">
        <f t="shared" si="45"/>
        <v>0</v>
      </c>
      <c r="H745">
        <f t="shared" si="46"/>
        <v>0</v>
      </c>
      <c r="I745">
        <f t="shared" si="47"/>
        <v>0</v>
      </c>
      <c r="J745" t="s">
        <v>590</v>
      </c>
      <c r="K745" t="s">
        <v>589</v>
      </c>
      <c r="L745" t="s">
        <v>621</v>
      </c>
    </row>
    <row r="746" spans="1:13" hidden="1" x14ac:dyDescent="0.35">
      <c r="A746">
        <v>2007</v>
      </c>
      <c r="B746" t="s">
        <v>183</v>
      </c>
      <c r="C746" t="s">
        <v>591</v>
      </c>
      <c r="D746" t="s">
        <v>430</v>
      </c>
      <c r="E746" t="s">
        <v>164</v>
      </c>
      <c r="F746">
        <f t="shared" si="44"/>
        <v>0</v>
      </c>
      <c r="G746">
        <f t="shared" si="45"/>
        <v>0</v>
      </c>
      <c r="H746">
        <f t="shared" si="46"/>
        <v>0</v>
      </c>
      <c r="I746">
        <f t="shared" si="47"/>
        <v>0</v>
      </c>
      <c r="J746" t="s">
        <v>590</v>
      </c>
      <c r="K746" t="s">
        <v>589</v>
      </c>
      <c r="L746" t="s">
        <v>621</v>
      </c>
    </row>
    <row r="747" spans="1:13" hidden="1" x14ac:dyDescent="0.35">
      <c r="A747">
        <v>2006</v>
      </c>
      <c r="B747" t="s">
        <v>183</v>
      </c>
      <c r="C747" t="s">
        <v>591</v>
      </c>
      <c r="D747" t="s">
        <v>430</v>
      </c>
      <c r="E747" t="s">
        <v>164</v>
      </c>
      <c r="F747">
        <f t="shared" si="44"/>
        <v>0</v>
      </c>
      <c r="G747">
        <f t="shared" si="45"/>
        <v>0</v>
      </c>
      <c r="H747">
        <f t="shared" si="46"/>
        <v>0</v>
      </c>
      <c r="I747">
        <f t="shared" si="47"/>
        <v>0</v>
      </c>
      <c r="J747" t="s">
        <v>590</v>
      </c>
      <c r="K747" t="s">
        <v>589</v>
      </c>
      <c r="L747" t="s">
        <v>621</v>
      </c>
    </row>
    <row r="748" spans="1:13" hidden="1" x14ac:dyDescent="0.35">
      <c r="A748">
        <v>2005</v>
      </c>
      <c r="B748" t="s">
        <v>183</v>
      </c>
      <c r="C748" t="s">
        <v>591</v>
      </c>
      <c r="D748" t="s">
        <v>430</v>
      </c>
      <c r="E748" t="s">
        <v>164</v>
      </c>
      <c r="F748">
        <f t="shared" si="44"/>
        <v>0</v>
      </c>
      <c r="G748">
        <f t="shared" si="45"/>
        <v>0</v>
      </c>
      <c r="H748">
        <f t="shared" si="46"/>
        <v>1</v>
      </c>
      <c r="I748">
        <f t="shared" si="47"/>
        <v>1</v>
      </c>
      <c r="J748" t="s">
        <v>590</v>
      </c>
      <c r="K748" t="s">
        <v>589</v>
      </c>
      <c r="L748" t="s">
        <v>621</v>
      </c>
    </row>
    <row r="749" spans="1:13" hidden="1" x14ac:dyDescent="0.35">
      <c r="A749">
        <v>2004</v>
      </c>
      <c r="B749" t="s">
        <v>183</v>
      </c>
      <c r="C749" t="s">
        <v>591</v>
      </c>
      <c r="D749" t="s">
        <v>430</v>
      </c>
      <c r="E749" t="s">
        <v>463</v>
      </c>
      <c r="F749">
        <f t="shared" si="44"/>
        <v>0</v>
      </c>
      <c r="G749">
        <f t="shared" si="45"/>
        <v>0</v>
      </c>
      <c r="H749">
        <f t="shared" si="46"/>
        <v>0</v>
      </c>
      <c r="I749">
        <f t="shared" si="47"/>
        <v>0</v>
      </c>
      <c r="J749" t="s">
        <v>390</v>
      </c>
      <c r="K749" t="s">
        <v>589</v>
      </c>
      <c r="L749" t="s">
        <v>621</v>
      </c>
    </row>
    <row r="750" spans="1:13" hidden="1" x14ac:dyDescent="0.35">
      <c r="A750">
        <v>2003</v>
      </c>
      <c r="B750" t="s">
        <v>183</v>
      </c>
      <c r="C750" t="s">
        <v>591</v>
      </c>
      <c r="D750" t="s">
        <v>430</v>
      </c>
      <c r="E750" t="s">
        <v>463</v>
      </c>
      <c r="F750">
        <f t="shared" si="44"/>
        <v>0</v>
      </c>
      <c r="G750">
        <f t="shared" si="45"/>
        <v>0</v>
      </c>
      <c r="H750">
        <f t="shared" si="46"/>
        <v>1</v>
      </c>
      <c r="I750">
        <f t="shared" si="47"/>
        <v>1</v>
      </c>
      <c r="J750" t="s">
        <v>390</v>
      </c>
      <c r="K750" t="s">
        <v>589</v>
      </c>
      <c r="L750" t="s">
        <v>621</v>
      </c>
    </row>
    <row r="751" spans="1:13" hidden="1" x14ac:dyDescent="0.35">
      <c r="A751">
        <v>2002</v>
      </c>
      <c r="B751" t="s">
        <v>183</v>
      </c>
      <c r="C751" t="s">
        <v>591</v>
      </c>
      <c r="D751" t="s">
        <v>430</v>
      </c>
      <c r="E751" t="s">
        <v>554</v>
      </c>
      <c r="F751">
        <f t="shared" si="44"/>
        <v>0</v>
      </c>
      <c r="G751">
        <f t="shared" si="45"/>
        <v>0</v>
      </c>
      <c r="H751">
        <f t="shared" si="46"/>
        <v>0</v>
      </c>
      <c r="I751">
        <f t="shared" si="47"/>
        <v>0</v>
      </c>
      <c r="J751" t="s">
        <v>591</v>
      </c>
      <c r="K751" t="s">
        <v>589</v>
      </c>
      <c r="L751" t="s">
        <v>621</v>
      </c>
    </row>
    <row r="752" spans="1:13" hidden="1" x14ac:dyDescent="0.35">
      <c r="A752">
        <v>2001</v>
      </c>
      <c r="B752" t="s">
        <v>183</v>
      </c>
      <c r="C752" t="s">
        <v>591</v>
      </c>
      <c r="D752" t="s">
        <v>430</v>
      </c>
      <c r="E752" t="s">
        <v>554</v>
      </c>
      <c r="F752">
        <f t="shared" si="44"/>
        <v>0</v>
      </c>
      <c r="G752">
        <f t="shared" si="45"/>
        <v>0</v>
      </c>
      <c r="H752">
        <f t="shared" si="46"/>
        <v>0</v>
      </c>
      <c r="I752">
        <f t="shared" si="47"/>
        <v>0</v>
      </c>
      <c r="J752" t="s">
        <v>591</v>
      </c>
      <c r="K752" t="s">
        <v>589</v>
      </c>
      <c r="L752" t="s">
        <v>621</v>
      </c>
    </row>
    <row r="753" spans="1:13" hidden="1" x14ac:dyDescent="0.35">
      <c r="A753">
        <v>2000</v>
      </c>
      <c r="B753" t="s">
        <v>183</v>
      </c>
      <c r="C753" t="s">
        <v>591</v>
      </c>
      <c r="D753" t="s">
        <v>430</v>
      </c>
      <c r="E753" t="s">
        <v>554</v>
      </c>
      <c r="F753">
        <f t="shared" si="44"/>
        <v>0</v>
      </c>
      <c r="G753">
        <f t="shared" si="45"/>
        <v>1</v>
      </c>
      <c r="H753">
        <f t="shared" si="46"/>
        <v>1</v>
      </c>
      <c r="I753">
        <f t="shared" si="47"/>
        <v>0</v>
      </c>
      <c r="J753" t="s">
        <v>591</v>
      </c>
      <c r="K753" t="s">
        <v>589</v>
      </c>
      <c r="L753" t="s">
        <v>621</v>
      </c>
    </row>
    <row r="754" spans="1:13" hidden="1" x14ac:dyDescent="0.35">
      <c r="A754">
        <v>1999</v>
      </c>
      <c r="B754" t="s">
        <v>183</v>
      </c>
      <c r="C754" t="s">
        <v>591</v>
      </c>
      <c r="D754" t="s">
        <v>46</v>
      </c>
      <c r="E754" t="s">
        <v>592</v>
      </c>
      <c r="F754">
        <f t="shared" si="44"/>
        <v>1</v>
      </c>
      <c r="G754">
        <f t="shared" si="45"/>
        <v>1</v>
      </c>
      <c r="H754">
        <f t="shared" si="46"/>
        <v>1</v>
      </c>
      <c r="I754">
        <f t="shared" si="47"/>
        <v>1</v>
      </c>
      <c r="J754" t="s">
        <v>591</v>
      </c>
      <c r="K754" t="s">
        <v>589</v>
      </c>
      <c r="L754" t="s">
        <v>621</v>
      </c>
    </row>
    <row r="755" spans="1:13" x14ac:dyDescent="0.35">
      <c r="A755">
        <v>2025</v>
      </c>
      <c r="B755" t="s">
        <v>184</v>
      </c>
      <c r="C755" t="s">
        <v>111</v>
      </c>
      <c r="D755" t="s">
        <v>111</v>
      </c>
      <c r="E755" t="s">
        <v>680</v>
      </c>
      <c r="F755">
        <f t="shared" si="44"/>
        <v>0</v>
      </c>
      <c r="G755">
        <f t="shared" si="45"/>
        <v>0</v>
      </c>
      <c r="H755">
        <f t="shared" si="46"/>
        <v>0</v>
      </c>
      <c r="I755">
        <f t="shared" si="47"/>
        <v>0</v>
      </c>
      <c r="J755" t="s">
        <v>298</v>
      </c>
      <c r="K755" t="s">
        <v>594</v>
      </c>
      <c r="L755" t="s">
        <v>627</v>
      </c>
      <c r="M755" t="s">
        <v>667</v>
      </c>
    </row>
    <row r="756" spans="1:13" x14ac:dyDescent="0.35">
      <c r="A756">
        <v>2024</v>
      </c>
      <c r="B756" t="s">
        <v>184</v>
      </c>
      <c r="C756" t="s">
        <v>111</v>
      </c>
      <c r="D756" t="s">
        <v>111</v>
      </c>
      <c r="E756" t="s">
        <v>680</v>
      </c>
      <c r="F756">
        <f t="shared" si="44"/>
        <v>0</v>
      </c>
      <c r="G756">
        <f t="shared" si="45"/>
        <v>0</v>
      </c>
      <c r="H756">
        <f t="shared" si="46"/>
        <v>1</v>
      </c>
      <c r="I756">
        <f t="shared" si="47"/>
        <v>0</v>
      </c>
      <c r="J756" t="s">
        <v>298</v>
      </c>
      <c r="K756" t="s">
        <v>594</v>
      </c>
      <c r="L756" t="s">
        <v>627</v>
      </c>
      <c r="M756" t="s">
        <v>667</v>
      </c>
    </row>
    <row r="757" spans="1:13" x14ac:dyDescent="0.35">
      <c r="A757">
        <v>2023</v>
      </c>
      <c r="B757" t="s">
        <v>184</v>
      </c>
      <c r="C757" t="s">
        <v>111</v>
      </c>
      <c r="D757" t="s">
        <v>111</v>
      </c>
      <c r="E757" t="s">
        <v>108</v>
      </c>
      <c r="F757">
        <f t="shared" si="44"/>
        <v>0</v>
      </c>
      <c r="G757">
        <f t="shared" si="45"/>
        <v>0</v>
      </c>
      <c r="H757">
        <f t="shared" si="46"/>
        <v>1</v>
      </c>
      <c r="I757">
        <f t="shared" si="47"/>
        <v>0</v>
      </c>
      <c r="J757" t="s">
        <v>298</v>
      </c>
      <c r="K757" t="s">
        <v>594</v>
      </c>
      <c r="L757" t="s">
        <v>627</v>
      </c>
      <c r="M757" t="s">
        <v>667</v>
      </c>
    </row>
    <row r="758" spans="1:13" x14ac:dyDescent="0.35">
      <c r="A758">
        <v>2022</v>
      </c>
      <c r="B758" t="s">
        <v>184</v>
      </c>
      <c r="C758" t="s">
        <v>111</v>
      </c>
      <c r="D758" t="s">
        <v>111</v>
      </c>
      <c r="E758" t="s">
        <v>593</v>
      </c>
      <c r="F758">
        <f t="shared" si="44"/>
        <v>0</v>
      </c>
      <c r="G758">
        <f t="shared" si="45"/>
        <v>0</v>
      </c>
      <c r="H758">
        <f t="shared" si="46"/>
        <v>0</v>
      </c>
      <c r="I758">
        <f t="shared" si="47"/>
        <v>0</v>
      </c>
      <c r="J758" t="s">
        <v>298</v>
      </c>
      <c r="K758" t="s">
        <v>594</v>
      </c>
      <c r="L758" t="s">
        <v>627</v>
      </c>
      <c r="M758" t="s">
        <v>667</v>
      </c>
    </row>
    <row r="759" spans="1:13" x14ac:dyDescent="0.35">
      <c r="A759">
        <v>2021</v>
      </c>
      <c r="B759" t="s">
        <v>184</v>
      </c>
      <c r="C759" t="s">
        <v>111</v>
      </c>
      <c r="D759" t="s">
        <v>111</v>
      </c>
      <c r="E759" t="s">
        <v>593</v>
      </c>
      <c r="F759">
        <f t="shared" si="44"/>
        <v>0</v>
      </c>
      <c r="G759">
        <f t="shared" si="45"/>
        <v>0</v>
      </c>
      <c r="H759">
        <f t="shared" si="46"/>
        <v>1</v>
      </c>
      <c r="I759">
        <f t="shared" si="47"/>
        <v>0</v>
      </c>
      <c r="J759" t="s">
        <v>298</v>
      </c>
      <c r="K759" t="s">
        <v>594</v>
      </c>
      <c r="L759" t="s">
        <v>627</v>
      </c>
      <c r="M759" t="s">
        <v>667</v>
      </c>
    </row>
    <row r="760" spans="1:13" x14ac:dyDescent="0.35">
      <c r="A760">
        <v>2020</v>
      </c>
      <c r="B760" t="s">
        <v>184</v>
      </c>
      <c r="C760" t="s">
        <v>111</v>
      </c>
      <c r="D760" t="s">
        <v>111</v>
      </c>
      <c r="E760" t="s">
        <v>227</v>
      </c>
      <c r="F760">
        <f t="shared" si="44"/>
        <v>0</v>
      </c>
      <c r="G760">
        <f t="shared" si="45"/>
        <v>0</v>
      </c>
      <c r="H760">
        <f t="shared" si="46"/>
        <v>0</v>
      </c>
      <c r="I760">
        <f t="shared" si="47"/>
        <v>0</v>
      </c>
      <c r="J760" t="s">
        <v>298</v>
      </c>
      <c r="K760" t="s">
        <v>594</v>
      </c>
      <c r="L760" t="s">
        <v>627</v>
      </c>
      <c r="M760" t="s">
        <v>667</v>
      </c>
    </row>
    <row r="761" spans="1:13" x14ac:dyDescent="0.35">
      <c r="A761">
        <v>2019</v>
      </c>
      <c r="B761" t="s">
        <v>184</v>
      </c>
      <c r="C761" t="s">
        <v>111</v>
      </c>
      <c r="D761" t="s">
        <v>111</v>
      </c>
      <c r="E761" t="s">
        <v>227</v>
      </c>
      <c r="F761">
        <f t="shared" si="44"/>
        <v>0</v>
      </c>
      <c r="G761">
        <f t="shared" si="45"/>
        <v>0</v>
      </c>
      <c r="H761">
        <f t="shared" si="46"/>
        <v>0</v>
      </c>
      <c r="I761">
        <f t="shared" si="47"/>
        <v>0</v>
      </c>
      <c r="J761" t="s">
        <v>298</v>
      </c>
      <c r="K761" t="s">
        <v>594</v>
      </c>
      <c r="L761" t="s">
        <v>627</v>
      </c>
      <c r="M761" t="s">
        <v>667</v>
      </c>
    </row>
    <row r="762" spans="1:13" x14ac:dyDescent="0.35">
      <c r="A762">
        <v>2018</v>
      </c>
      <c r="B762" t="s">
        <v>184</v>
      </c>
      <c r="C762" t="s">
        <v>111</v>
      </c>
      <c r="D762" t="s">
        <v>111</v>
      </c>
      <c r="E762" t="s">
        <v>227</v>
      </c>
      <c r="F762">
        <f t="shared" si="44"/>
        <v>0</v>
      </c>
      <c r="G762">
        <f t="shared" si="45"/>
        <v>0</v>
      </c>
      <c r="H762">
        <f t="shared" si="46"/>
        <v>0</v>
      </c>
      <c r="I762">
        <f t="shared" si="47"/>
        <v>0</v>
      </c>
      <c r="J762" t="s">
        <v>298</v>
      </c>
      <c r="K762" t="s">
        <v>594</v>
      </c>
      <c r="L762" t="s">
        <v>627</v>
      </c>
      <c r="M762" t="s">
        <v>667</v>
      </c>
    </row>
    <row r="763" spans="1:13" x14ac:dyDescent="0.35">
      <c r="A763">
        <v>2017</v>
      </c>
      <c r="B763" t="s">
        <v>184</v>
      </c>
      <c r="C763" t="s">
        <v>111</v>
      </c>
      <c r="D763" t="s">
        <v>111</v>
      </c>
      <c r="E763" t="s">
        <v>227</v>
      </c>
      <c r="F763">
        <f t="shared" si="44"/>
        <v>1</v>
      </c>
      <c r="G763">
        <f t="shared" si="45"/>
        <v>1</v>
      </c>
      <c r="H763">
        <f t="shared" si="46"/>
        <v>1</v>
      </c>
      <c r="I763">
        <f t="shared" si="47"/>
        <v>1</v>
      </c>
      <c r="J763" t="s">
        <v>298</v>
      </c>
      <c r="K763" t="s">
        <v>594</v>
      </c>
      <c r="L763" t="s">
        <v>627</v>
      </c>
      <c r="M763" t="s">
        <v>667</v>
      </c>
    </row>
    <row r="764" spans="1:13" x14ac:dyDescent="0.35">
      <c r="A764">
        <v>2016</v>
      </c>
      <c r="B764" t="s">
        <v>184</v>
      </c>
      <c r="C764" t="s">
        <v>191</v>
      </c>
      <c r="D764" t="s">
        <v>19</v>
      </c>
      <c r="E764" t="s">
        <v>110</v>
      </c>
      <c r="F764">
        <f t="shared" si="44"/>
        <v>1</v>
      </c>
      <c r="G764">
        <f t="shared" si="45"/>
        <v>1</v>
      </c>
      <c r="H764">
        <f t="shared" si="46"/>
        <v>1</v>
      </c>
      <c r="I764">
        <f t="shared" si="47"/>
        <v>0</v>
      </c>
      <c r="J764" t="s">
        <v>299</v>
      </c>
      <c r="K764" t="s">
        <v>594</v>
      </c>
      <c r="L764" t="s">
        <v>631</v>
      </c>
      <c r="M764" t="s">
        <v>670</v>
      </c>
    </row>
    <row r="765" spans="1:13" x14ac:dyDescent="0.35">
      <c r="A765">
        <v>2015</v>
      </c>
      <c r="B765" t="s">
        <v>184</v>
      </c>
      <c r="C765" t="s">
        <v>228</v>
      </c>
      <c r="D765" t="s">
        <v>229</v>
      </c>
      <c r="E765" t="s">
        <v>118</v>
      </c>
      <c r="F765">
        <f t="shared" si="44"/>
        <v>1</v>
      </c>
      <c r="G765">
        <f t="shared" si="45"/>
        <v>1</v>
      </c>
      <c r="H765">
        <f t="shared" si="46"/>
        <v>1</v>
      </c>
      <c r="I765">
        <f t="shared" si="47"/>
        <v>0</v>
      </c>
      <c r="J765" t="s">
        <v>299</v>
      </c>
      <c r="K765" t="s">
        <v>594</v>
      </c>
      <c r="L765" t="s">
        <v>626</v>
      </c>
      <c r="M765" t="s">
        <v>669</v>
      </c>
    </row>
    <row r="766" spans="1:13" x14ac:dyDescent="0.35">
      <c r="A766">
        <v>2014</v>
      </c>
      <c r="B766" t="s">
        <v>184</v>
      </c>
      <c r="C766" t="s">
        <v>230</v>
      </c>
      <c r="D766" t="s">
        <v>13</v>
      </c>
      <c r="E766" t="s">
        <v>167</v>
      </c>
      <c r="F766">
        <f t="shared" si="44"/>
        <v>0</v>
      </c>
      <c r="G766">
        <f t="shared" si="45"/>
        <v>0</v>
      </c>
      <c r="H766">
        <f t="shared" si="46"/>
        <v>0</v>
      </c>
      <c r="I766">
        <f t="shared" si="47"/>
        <v>0</v>
      </c>
      <c r="J766" t="s">
        <v>299</v>
      </c>
      <c r="K766" t="s">
        <v>594</v>
      </c>
      <c r="L766" t="s">
        <v>639</v>
      </c>
      <c r="M766" t="s">
        <v>667</v>
      </c>
    </row>
    <row r="767" spans="1:13" x14ac:dyDescent="0.35">
      <c r="A767">
        <v>2013</v>
      </c>
      <c r="B767" t="s">
        <v>184</v>
      </c>
      <c r="C767" t="s">
        <v>230</v>
      </c>
      <c r="D767" t="s">
        <v>13</v>
      </c>
      <c r="E767" t="s">
        <v>167</v>
      </c>
      <c r="F767">
        <f t="shared" si="44"/>
        <v>0</v>
      </c>
      <c r="G767">
        <f t="shared" si="45"/>
        <v>0</v>
      </c>
      <c r="H767">
        <f t="shared" si="46"/>
        <v>0</v>
      </c>
      <c r="I767">
        <f t="shared" si="47"/>
        <v>0</v>
      </c>
      <c r="J767" t="s">
        <v>299</v>
      </c>
      <c r="K767" t="s">
        <v>594</v>
      </c>
      <c r="L767" t="s">
        <v>639</v>
      </c>
      <c r="M767" t="s">
        <v>667</v>
      </c>
    </row>
    <row r="768" spans="1:13" x14ac:dyDescent="0.35">
      <c r="A768">
        <v>2012</v>
      </c>
      <c r="B768" t="s">
        <v>184</v>
      </c>
      <c r="C768" t="s">
        <v>230</v>
      </c>
      <c r="D768" t="s">
        <v>13</v>
      </c>
      <c r="E768" t="s">
        <v>167</v>
      </c>
      <c r="F768">
        <f t="shared" si="44"/>
        <v>0</v>
      </c>
      <c r="G768">
        <f t="shared" si="45"/>
        <v>0</v>
      </c>
      <c r="H768">
        <f t="shared" si="46"/>
        <v>0</v>
      </c>
      <c r="I768">
        <f t="shared" si="47"/>
        <v>0</v>
      </c>
      <c r="J768" t="s">
        <v>299</v>
      </c>
      <c r="K768" t="s">
        <v>594</v>
      </c>
      <c r="L768" t="s">
        <v>639</v>
      </c>
      <c r="M768" t="s">
        <v>667</v>
      </c>
    </row>
    <row r="769" spans="1:13" x14ac:dyDescent="0.35">
      <c r="A769">
        <v>2011</v>
      </c>
      <c r="B769" t="s">
        <v>184</v>
      </c>
      <c r="C769" t="s">
        <v>230</v>
      </c>
      <c r="D769" t="s">
        <v>13</v>
      </c>
      <c r="E769" t="s">
        <v>167</v>
      </c>
      <c r="F769">
        <f t="shared" si="44"/>
        <v>1</v>
      </c>
      <c r="G769">
        <f t="shared" si="45"/>
        <v>1</v>
      </c>
      <c r="H769">
        <f t="shared" si="46"/>
        <v>1</v>
      </c>
      <c r="I769">
        <f t="shared" si="47"/>
        <v>0</v>
      </c>
      <c r="J769" t="s">
        <v>299</v>
      </c>
      <c r="K769" t="s">
        <v>594</v>
      </c>
      <c r="L769" t="s">
        <v>639</v>
      </c>
      <c r="M769" t="s">
        <v>667</v>
      </c>
    </row>
    <row r="770" spans="1:13" hidden="1" x14ac:dyDescent="0.35">
      <c r="A770">
        <v>2010</v>
      </c>
      <c r="B770" t="s">
        <v>184</v>
      </c>
      <c r="C770" t="s">
        <v>231</v>
      </c>
      <c r="D770" t="s">
        <v>232</v>
      </c>
      <c r="E770" t="s">
        <v>76</v>
      </c>
      <c r="F770">
        <f t="shared" ref="F770:F833" si="48">IF(C770=C771,0,1)</f>
        <v>0</v>
      </c>
      <c r="G770">
        <f t="shared" ref="G770:G833" si="49">IF(D770=D771,0,1)</f>
        <v>0</v>
      </c>
      <c r="H770">
        <f t="shared" ref="H770:H833" si="50">IF(E770=E771,0,1)</f>
        <v>0</v>
      </c>
      <c r="I770">
        <f t="shared" ref="I770:I833" si="51">IF(J770=J771,0,1)</f>
        <v>1</v>
      </c>
      <c r="J770" t="s">
        <v>299</v>
      </c>
      <c r="K770" t="s">
        <v>594</v>
      </c>
      <c r="L770" t="s">
        <v>623</v>
      </c>
      <c r="M770" t="s">
        <v>670</v>
      </c>
    </row>
    <row r="771" spans="1:13" hidden="1" x14ac:dyDescent="0.35">
      <c r="A771">
        <v>2009</v>
      </c>
      <c r="B771" t="s">
        <v>184</v>
      </c>
      <c r="C771" t="s">
        <v>231</v>
      </c>
      <c r="D771" t="s">
        <v>232</v>
      </c>
      <c r="E771" t="s">
        <v>76</v>
      </c>
      <c r="F771">
        <f t="shared" si="48"/>
        <v>1</v>
      </c>
      <c r="G771">
        <f t="shared" si="49"/>
        <v>1</v>
      </c>
      <c r="H771">
        <f t="shared" si="50"/>
        <v>0</v>
      </c>
      <c r="I771">
        <f t="shared" si="51"/>
        <v>0</v>
      </c>
      <c r="J771" t="s">
        <v>597</v>
      </c>
      <c r="K771" t="s">
        <v>594</v>
      </c>
      <c r="L771" t="s">
        <v>640</v>
      </c>
    </row>
    <row r="772" spans="1:13" hidden="1" x14ac:dyDescent="0.35">
      <c r="A772">
        <v>2008</v>
      </c>
      <c r="B772" t="s">
        <v>184</v>
      </c>
      <c r="C772" t="s">
        <v>49</v>
      </c>
      <c r="D772" t="s">
        <v>221</v>
      </c>
      <c r="E772" t="s">
        <v>76</v>
      </c>
      <c r="F772">
        <f t="shared" si="48"/>
        <v>0</v>
      </c>
      <c r="G772">
        <f t="shared" si="49"/>
        <v>1</v>
      </c>
      <c r="H772">
        <f t="shared" si="50"/>
        <v>0</v>
      </c>
      <c r="I772">
        <f t="shared" si="51"/>
        <v>0</v>
      </c>
      <c r="J772" t="s">
        <v>597</v>
      </c>
      <c r="K772" t="s">
        <v>595</v>
      </c>
      <c r="L772" t="s">
        <v>221</v>
      </c>
    </row>
    <row r="773" spans="1:13" hidden="1" x14ac:dyDescent="0.35">
      <c r="A773">
        <v>2007</v>
      </c>
      <c r="B773" t="s">
        <v>184</v>
      </c>
      <c r="C773" t="s">
        <v>49</v>
      </c>
      <c r="D773" t="s">
        <v>600</v>
      </c>
      <c r="E773" t="s">
        <v>76</v>
      </c>
      <c r="F773">
        <f t="shared" si="48"/>
        <v>0</v>
      </c>
      <c r="G773">
        <f t="shared" si="49"/>
        <v>1</v>
      </c>
      <c r="H773">
        <f t="shared" si="50"/>
        <v>1</v>
      </c>
      <c r="I773">
        <f t="shared" si="51"/>
        <v>0</v>
      </c>
      <c r="J773" t="s">
        <v>597</v>
      </c>
      <c r="K773" t="s">
        <v>595</v>
      </c>
      <c r="L773" t="s">
        <v>633</v>
      </c>
    </row>
    <row r="774" spans="1:13" hidden="1" x14ac:dyDescent="0.35">
      <c r="A774">
        <v>2006</v>
      </c>
      <c r="B774" t="s">
        <v>184</v>
      </c>
      <c r="C774" t="s">
        <v>49</v>
      </c>
      <c r="D774" t="s">
        <v>112</v>
      </c>
      <c r="E774" t="s">
        <v>192</v>
      </c>
      <c r="F774">
        <f t="shared" si="48"/>
        <v>0</v>
      </c>
      <c r="G774">
        <f t="shared" si="49"/>
        <v>1</v>
      </c>
      <c r="H774">
        <f t="shared" si="50"/>
        <v>0</v>
      </c>
      <c r="I774">
        <f t="shared" si="51"/>
        <v>0</v>
      </c>
      <c r="J774" t="s">
        <v>597</v>
      </c>
      <c r="K774" t="s">
        <v>595</v>
      </c>
    </row>
    <row r="775" spans="1:13" hidden="1" x14ac:dyDescent="0.35">
      <c r="A775">
        <v>2005</v>
      </c>
      <c r="B775" t="s">
        <v>184</v>
      </c>
      <c r="C775" t="s">
        <v>49</v>
      </c>
      <c r="D775" t="s">
        <v>194</v>
      </c>
      <c r="E775" t="s">
        <v>192</v>
      </c>
      <c r="F775">
        <f t="shared" si="48"/>
        <v>1</v>
      </c>
      <c r="G775">
        <f t="shared" si="49"/>
        <v>1</v>
      </c>
      <c r="H775">
        <f t="shared" si="50"/>
        <v>1</v>
      </c>
      <c r="I775">
        <f t="shared" si="51"/>
        <v>1</v>
      </c>
      <c r="J775" t="s">
        <v>597</v>
      </c>
      <c r="K775" t="s">
        <v>595</v>
      </c>
      <c r="L775" t="s">
        <v>621</v>
      </c>
    </row>
    <row r="776" spans="1:13" hidden="1" x14ac:dyDescent="0.35">
      <c r="A776">
        <v>2004</v>
      </c>
      <c r="B776" t="s">
        <v>184</v>
      </c>
      <c r="C776" t="s">
        <v>601</v>
      </c>
      <c r="D776" t="s">
        <v>602</v>
      </c>
      <c r="E776" t="s">
        <v>603</v>
      </c>
      <c r="F776">
        <f t="shared" si="48"/>
        <v>0</v>
      </c>
      <c r="G776">
        <f t="shared" si="49"/>
        <v>1</v>
      </c>
      <c r="H776">
        <f t="shared" si="50"/>
        <v>1</v>
      </c>
      <c r="I776">
        <f t="shared" si="51"/>
        <v>0</v>
      </c>
      <c r="J776" t="s">
        <v>598</v>
      </c>
      <c r="K776" t="s">
        <v>595</v>
      </c>
    </row>
    <row r="777" spans="1:13" hidden="1" x14ac:dyDescent="0.35">
      <c r="A777">
        <v>2003</v>
      </c>
      <c r="B777" t="s">
        <v>184</v>
      </c>
      <c r="C777" t="s">
        <v>601</v>
      </c>
      <c r="D777" t="s">
        <v>160</v>
      </c>
      <c r="E777" t="s">
        <v>395</v>
      </c>
      <c r="F777">
        <f t="shared" si="48"/>
        <v>1</v>
      </c>
      <c r="G777">
        <f t="shared" si="49"/>
        <v>0</v>
      </c>
      <c r="H777">
        <f t="shared" si="50"/>
        <v>0</v>
      </c>
      <c r="I777">
        <f t="shared" si="51"/>
        <v>0</v>
      </c>
      <c r="J777" t="s">
        <v>598</v>
      </c>
      <c r="K777" t="s">
        <v>595</v>
      </c>
      <c r="L777" t="s">
        <v>621</v>
      </c>
    </row>
    <row r="778" spans="1:13" hidden="1" x14ac:dyDescent="0.35">
      <c r="A778">
        <v>2002</v>
      </c>
      <c r="B778" t="s">
        <v>184</v>
      </c>
      <c r="C778" t="s">
        <v>477</v>
      </c>
      <c r="D778" t="s">
        <v>160</v>
      </c>
      <c r="E778" t="s">
        <v>395</v>
      </c>
      <c r="F778">
        <f t="shared" si="48"/>
        <v>0</v>
      </c>
      <c r="G778">
        <f t="shared" si="49"/>
        <v>0</v>
      </c>
      <c r="H778">
        <f t="shared" si="50"/>
        <v>0</v>
      </c>
      <c r="I778">
        <f t="shared" si="51"/>
        <v>0</v>
      </c>
      <c r="J778" t="s">
        <v>598</v>
      </c>
      <c r="K778" t="s">
        <v>595</v>
      </c>
      <c r="L778" t="s">
        <v>621</v>
      </c>
    </row>
    <row r="779" spans="1:13" hidden="1" x14ac:dyDescent="0.35">
      <c r="A779">
        <v>2001</v>
      </c>
      <c r="B779" t="s">
        <v>184</v>
      </c>
      <c r="C779" t="s">
        <v>477</v>
      </c>
      <c r="D779" t="s">
        <v>160</v>
      </c>
      <c r="E779" t="s">
        <v>395</v>
      </c>
      <c r="F779">
        <f t="shared" si="48"/>
        <v>0</v>
      </c>
      <c r="G779">
        <f t="shared" si="49"/>
        <v>1</v>
      </c>
      <c r="H779">
        <f t="shared" si="50"/>
        <v>0</v>
      </c>
      <c r="I779">
        <f t="shared" si="51"/>
        <v>1</v>
      </c>
      <c r="J779" t="s">
        <v>598</v>
      </c>
      <c r="K779" t="s">
        <v>595</v>
      </c>
      <c r="L779" t="s">
        <v>621</v>
      </c>
    </row>
    <row r="780" spans="1:13" hidden="1" x14ac:dyDescent="0.35">
      <c r="A780">
        <v>2000</v>
      </c>
      <c r="B780" t="s">
        <v>184</v>
      </c>
      <c r="C780" t="s">
        <v>477</v>
      </c>
      <c r="D780" t="s">
        <v>55</v>
      </c>
      <c r="E780" t="s">
        <v>395</v>
      </c>
      <c r="F780">
        <f t="shared" si="48"/>
        <v>0</v>
      </c>
      <c r="G780">
        <f t="shared" si="49"/>
        <v>0</v>
      </c>
      <c r="H780">
        <f t="shared" si="50"/>
        <v>0</v>
      </c>
      <c r="I780">
        <f t="shared" si="51"/>
        <v>0</v>
      </c>
      <c r="J780" t="s">
        <v>599</v>
      </c>
      <c r="K780" t="s">
        <v>595</v>
      </c>
      <c r="L780" t="s">
        <v>631</v>
      </c>
    </row>
    <row r="781" spans="1:13" hidden="1" x14ac:dyDescent="0.35">
      <c r="A781">
        <v>1999</v>
      </c>
      <c r="B781" t="s">
        <v>184</v>
      </c>
      <c r="C781" t="s">
        <v>477</v>
      </c>
      <c r="D781" t="s">
        <v>55</v>
      </c>
      <c r="E781" t="s">
        <v>395</v>
      </c>
      <c r="F781">
        <f t="shared" si="48"/>
        <v>1</v>
      </c>
      <c r="G781">
        <f t="shared" si="49"/>
        <v>1</v>
      </c>
      <c r="H781">
        <f t="shared" si="50"/>
        <v>1</v>
      </c>
      <c r="I781">
        <f t="shared" si="51"/>
        <v>1</v>
      </c>
      <c r="J781" t="s">
        <v>599</v>
      </c>
      <c r="K781" t="s">
        <v>596</v>
      </c>
      <c r="L781" t="s">
        <v>631</v>
      </c>
    </row>
    <row r="782" spans="1:13" x14ac:dyDescent="0.35">
      <c r="A782">
        <v>2025</v>
      </c>
      <c r="B782" t="s">
        <v>187</v>
      </c>
      <c r="C782" t="s">
        <v>53</v>
      </c>
      <c r="D782" t="s">
        <v>694</v>
      </c>
      <c r="E782" t="s">
        <v>53</v>
      </c>
      <c r="F782">
        <f t="shared" si="48"/>
        <v>0</v>
      </c>
      <c r="G782">
        <f t="shared" si="49"/>
        <v>1</v>
      </c>
      <c r="H782">
        <f t="shared" si="50"/>
        <v>0</v>
      </c>
      <c r="I782">
        <f t="shared" si="51"/>
        <v>0</v>
      </c>
      <c r="J782" t="s">
        <v>304</v>
      </c>
      <c r="K782" t="s">
        <v>604</v>
      </c>
      <c r="L782" t="s">
        <v>627</v>
      </c>
      <c r="M782" t="s">
        <v>674</v>
      </c>
    </row>
    <row r="783" spans="1:13" x14ac:dyDescent="0.35">
      <c r="A783">
        <v>2024</v>
      </c>
      <c r="B783" t="s">
        <v>187</v>
      </c>
      <c r="C783" t="s">
        <v>53</v>
      </c>
      <c r="D783" t="s">
        <v>681</v>
      </c>
      <c r="E783" t="s">
        <v>53</v>
      </c>
      <c r="F783">
        <f t="shared" si="48"/>
        <v>0</v>
      </c>
      <c r="G783">
        <f t="shared" si="49"/>
        <v>1</v>
      </c>
      <c r="H783">
        <f t="shared" si="50"/>
        <v>0</v>
      </c>
      <c r="I783">
        <f t="shared" si="51"/>
        <v>0</v>
      </c>
      <c r="J783" t="s">
        <v>304</v>
      </c>
      <c r="K783" t="s">
        <v>604</v>
      </c>
      <c r="L783" t="s">
        <v>627</v>
      </c>
      <c r="M783" t="s">
        <v>674</v>
      </c>
    </row>
    <row r="784" spans="1:13" x14ac:dyDescent="0.35">
      <c r="A784">
        <v>2023</v>
      </c>
      <c r="B784" t="s">
        <v>187</v>
      </c>
      <c r="C784" t="s">
        <v>53</v>
      </c>
      <c r="D784" t="s">
        <v>661</v>
      </c>
      <c r="E784" t="s">
        <v>53</v>
      </c>
      <c r="F784">
        <f t="shared" si="48"/>
        <v>0</v>
      </c>
      <c r="G784">
        <f t="shared" si="49"/>
        <v>1</v>
      </c>
      <c r="H784">
        <f t="shared" si="50"/>
        <v>0</v>
      </c>
      <c r="I784">
        <f t="shared" si="51"/>
        <v>0</v>
      </c>
      <c r="J784" t="s">
        <v>304</v>
      </c>
      <c r="K784" t="s">
        <v>604</v>
      </c>
      <c r="L784" t="s">
        <v>626</v>
      </c>
      <c r="M784" t="s">
        <v>674</v>
      </c>
    </row>
    <row r="785" spans="1:13" x14ac:dyDescent="0.35">
      <c r="A785">
        <v>2022</v>
      </c>
      <c r="B785" t="s">
        <v>187</v>
      </c>
      <c r="C785" t="s">
        <v>53</v>
      </c>
      <c r="D785" t="s">
        <v>239</v>
      </c>
      <c r="E785" t="s">
        <v>53</v>
      </c>
      <c r="F785">
        <f t="shared" si="48"/>
        <v>1</v>
      </c>
      <c r="G785">
        <f t="shared" si="49"/>
        <v>0</v>
      </c>
      <c r="H785">
        <f t="shared" si="50"/>
        <v>0</v>
      </c>
      <c r="I785">
        <f t="shared" si="51"/>
        <v>0</v>
      </c>
      <c r="J785" t="s">
        <v>304</v>
      </c>
      <c r="K785" t="s">
        <v>604</v>
      </c>
      <c r="L785" t="s">
        <v>622</v>
      </c>
      <c r="M785" t="s">
        <v>674</v>
      </c>
    </row>
    <row r="786" spans="1:13" x14ac:dyDescent="0.35">
      <c r="A786">
        <v>2021</v>
      </c>
      <c r="B786" t="s">
        <v>187</v>
      </c>
      <c r="C786" t="s">
        <v>78</v>
      </c>
      <c r="D786" t="s">
        <v>239</v>
      </c>
      <c r="E786" t="s">
        <v>53</v>
      </c>
      <c r="F786">
        <f t="shared" si="48"/>
        <v>0</v>
      </c>
      <c r="G786">
        <f t="shared" si="49"/>
        <v>0</v>
      </c>
      <c r="H786">
        <f t="shared" si="50"/>
        <v>0</v>
      </c>
      <c r="I786">
        <f t="shared" si="51"/>
        <v>0</v>
      </c>
      <c r="J786" t="s">
        <v>304</v>
      </c>
      <c r="K786" t="s">
        <v>604</v>
      </c>
      <c r="L786" t="s">
        <v>622</v>
      </c>
      <c r="M786" t="s">
        <v>674</v>
      </c>
    </row>
    <row r="787" spans="1:13" x14ac:dyDescent="0.35">
      <c r="A787">
        <v>2020</v>
      </c>
      <c r="B787" t="s">
        <v>187</v>
      </c>
      <c r="C787" t="s">
        <v>78</v>
      </c>
      <c r="D787" t="s">
        <v>239</v>
      </c>
      <c r="E787" t="s">
        <v>53</v>
      </c>
      <c r="F787">
        <f t="shared" si="48"/>
        <v>0</v>
      </c>
      <c r="G787">
        <f t="shared" si="49"/>
        <v>0</v>
      </c>
      <c r="H787">
        <f t="shared" si="50"/>
        <v>0</v>
      </c>
      <c r="I787">
        <f t="shared" si="51"/>
        <v>0</v>
      </c>
      <c r="J787" t="s">
        <v>304</v>
      </c>
      <c r="K787" t="s">
        <v>604</v>
      </c>
      <c r="L787" t="s">
        <v>622</v>
      </c>
      <c r="M787" t="s">
        <v>674</v>
      </c>
    </row>
    <row r="788" spans="1:13" x14ac:dyDescent="0.35">
      <c r="A788">
        <v>2019</v>
      </c>
      <c r="B788" t="s">
        <v>187</v>
      </c>
      <c r="C788" t="s">
        <v>78</v>
      </c>
      <c r="D788" t="s">
        <v>239</v>
      </c>
      <c r="E788" t="s">
        <v>53</v>
      </c>
      <c r="F788">
        <f t="shared" si="48"/>
        <v>1</v>
      </c>
      <c r="G788">
        <f t="shared" si="49"/>
        <v>1</v>
      </c>
      <c r="H788">
        <f t="shared" si="50"/>
        <v>1</v>
      </c>
      <c r="I788">
        <f t="shared" si="51"/>
        <v>0</v>
      </c>
      <c r="J788" t="s">
        <v>304</v>
      </c>
      <c r="K788" t="s">
        <v>604</v>
      </c>
      <c r="L788" t="s">
        <v>622</v>
      </c>
      <c r="M788" t="s">
        <v>674</v>
      </c>
    </row>
    <row r="789" spans="1:13" x14ac:dyDescent="0.35">
      <c r="A789">
        <v>2018</v>
      </c>
      <c r="B789" t="s">
        <v>187</v>
      </c>
      <c r="C789" t="s">
        <v>91</v>
      </c>
      <c r="D789" t="s">
        <v>107</v>
      </c>
      <c r="E789" t="s">
        <v>240</v>
      </c>
      <c r="F789">
        <f t="shared" si="48"/>
        <v>0</v>
      </c>
      <c r="G789">
        <f t="shared" si="49"/>
        <v>0</v>
      </c>
      <c r="H789">
        <f t="shared" si="50"/>
        <v>0</v>
      </c>
      <c r="I789">
        <f t="shared" si="51"/>
        <v>0</v>
      </c>
      <c r="J789" t="s">
        <v>304</v>
      </c>
      <c r="K789" t="s">
        <v>604</v>
      </c>
      <c r="L789" t="s">
        <v>622</v>
      </c>
      <c r="M789" t="s">
        <v>670</v>
      </c>
    </row>
    <row r="790" spans="1:13" x14ac:dyDescent="0.35">
      <c r="A790">
        <v>2017</v>
      </c>
      <c r="B790" t="s">
        <v>187</v>
      </c>
      <c r="C790" t="s">
        <v>91</v>
      </c>
      <c r="D790" t="s">
        <v>107</v>
      </c>
      <c r="E790" t="s">
        <v>240</v>
      </c>
      <c r="F790">
        <f t="shared" si="48"/>
        <v>0</v>
      </c>
      <c r="G790">
        <f t="shared" si="49"/>
        <v>0</v>
      </c>
      <c r="H790">
        <f t="shared" si="50"/>
        <v>0</v>
      </c>
      <c r="I790">
        <f t="shared" si="51"/>
        <v>0</v>
      </c>
      <c r="J790" t="s">
        <v>304</v>
      </c>
      <c r="K790" t="s">
        <v>604</v>
      </c>
      <c r="L790" t="s">
        <v>622</v>
      </c>
      <c r="M790" t="s">
        <v>670</v>
      </c>
    </row>
    <row r="791" spans="1:13" x14ac:dyDescent="0.35">
      <c r="A791">
        <v>2016</v>
      </c>
      <c r="B791" t="s">
        <v>187</v>
      </c>
      <c r="C791" t="s">
        <v>91</v>
      </c>
      <c r="D791" t="s">
        <v>107</v>
      </c>
      <c r="E791" t="s">
        <v>240</v>
      </c>
      <c r="F791">
        <f t="shared" si="48"/>
        <v>1</v>
      </c>
      <c r="G791">
        <f t="shared" si="49"/>
        <v>1</v>
      </c>
      <c r="H791">
        <f t="shared" si="50"/>
        <v>1</v>
      </c>
      <c r="I791">
        <f t="shared" si="51"/>
        <v>0</v>
      </c>
      <c r="J791" t="s">
        <v>304</v>
      </c>
      <c r="K791" t="s">
        <v>604</v>
      </c>
      <c r="L791" t="s">
        <v>622</v>
      </c>
      <c r="M791" t="s">
        <v>670</v>
      </c>
    </row>
    <row r="792" spans="1:13" x14ac:dyDescent="0.35">
      <c r="A792">
        <v>2015</v>
      </c>
      <c r="B792" t="s">
        <v>187</v>
      </c>
      <c r="C792" t="s">
        <v>218</v>
      </c>
      <c r="D792" t="s">
        <v>91</v>
      </c>
      <c r="E792" t="s">
        <v>10</v>
      </c>
      <c r="F792">
        <f t="shared" si="48"/>
        <v>0</v>
      </c>
      <c r="G792">
        <f t="shared" si="49"/>
        <v>1</v>
      </c>
      <c r="H792">
        <f t="shared" si="50"/>
        <v>0</v>
      </c>
      <c r="I792">
        <f t="shared" si="51"/>
        <v>0</v>
      </c>
      <c r="J792" t="s">
        <v>304</v>
      </c>
      <c r="K792" t="s">
        <v>604</v>
      </c>
      <c r="L792" t="s">
        <v>626</v>
      </c>
      <c r="M792" t="s">
        <v>665</v>
      </c>
    </row>
    <row r="793" spans="1:13" x14ac:dyDescent="0.35">
      <c r="A793">
        <v>2014</v>
      </c>
      <c r="B793" t="s">
        <v>187</v>
      </c>
      <c r="C793" t="s">
        <v>218</v>
      </c>
      <c r="D793" t="s">
        <v>243</v>
      </c>
      <c r="E793" t="s">
        <v>10</v>
      </c>
      <c r="F793">
        <f t="shared" si="48"/>
        <v>1</v>
      </c>
      <c r="G793">
        <f t="shared" si="49"/>
        <v>1</v>
      </c>
      <c r="H793">
        <f t="shared" si="50"/>
        <v>1</v>
      </c>
      <c r="I793">
        <f t="shared" si="51"/>
        <v>1</v>
      </c>
      <c r="J793" t="s">
        <v>304</v>
      </c>
      <c r="K793" t="s">
        <v>604</v>
      </c>
      <c r="L793" t="s">
        <v>626</v>
      </c>
      <c r="M793" t="s">
        <v>665</v>
      </c>
    </row>
    <row r="794" spans="1:13" x14ac:dyDescent="0.35">
      <c r="A794">
        <v>2013</v>
      </c>
      <c r="B794" t="s">
        <v>187</v>
      </c>
      <c r="C794" t="s">
        <v>241</v>
      </c>
      <c r="D794" t="s">
        <v>206</v>
      </c>
      <c r="E794" t="s">
        <v>244</v>
      </c>
      <c r="F794">
        <f t="shared" si="48"/>
        <v>0</v>
      </c>
      <c r="G794">
        <f t="shared" si="49"/>
        <v>0</v>
      </c>
      <c r="H794">
        <f t="shared" si="50"/>
        <v>0</v>
      </c>
      <c r="I794">
        <f t="shared" si="51"/>
        <v>0</v>
      </c>
      <c r="J794" t="s">
        <v>305</v>
      </c>
      <c r="K794" t="s">
        <v>604</v>
      </c>
      <c r="L794" t="s">
        <v>626</v>
      </c>
      <c r="M794" t="s">
        <v>674</v>
      </c>
    </row>
    <row r="795" spans="1:13" x14ac:dyDescent="0.35">
      <c r="A795">
        <v>2012</v>
      </c>
      <c r="B795" t="s">
        <v>187</v>
      </c>
      <c r="C795" t="s">
        <v>241</v>
      </c>
      <c r="D795" t="s">
        <v>206</v>
      </c>
      <c r="E795" t="s">
        <v>244</v>
      </c>
      <c r="F795">
        <f t="shared" si="48"/>
        <v>1</v>
      </c>
      <c r="G795">
        <f t="shared" si="49"/>
        <v>1</v>
      </c>
      <c r="H795">
        <f t="shared" si="50"/>
        <v>1</v>
      </c>
      <c r="I795">
        <f t="shared" si="51"/>
        <v>0</v>
      </c>
      <c r="J795" t="s">
        <v>305</v>
      </c>
      <c r="K795" t="s">
        <v>604</v>
      </c>
      <c r="L795" t="s">
        <v>626</v>
      </c>
      <c r="M795" t="s">
        <v>674</v>
      </c>
    </row>
    <row r="796" spans="1:13" x14ac:dyDescent="0.35">
      <c r="A796">
        <v>2011</v>
      </c>
      <c r="B796" t="s">
        <v>187</v>
      </c>
      <c r="C796" t="s">
        <v>242</v>
      </c>
      <c r="D796" t="s">
        <v>85</v>
      </c>
      <c r="E796" t="s">
        <v>245</v>
      </c>
      <c r="F796">
        <f t="shared" si="48"/>
        <v>0</v>
      </c>
      <c r="G796">
        <f t="shared" si="49"/>
        <v>0</v>
      </c>
      <c r="H796">
        <f t="shared" si="50"/>
        <v>1</v>
      </c>
      <c r="I796">
        <f t="shared" si="51"/>
        <v>0</v>
      </c>
      <c r="J796" t="s">
        <v>305</v>
      </c>
      <c r="K796" t="s">
        <v>604</v>
      </c>
      <c r="L796" t="s">
        <v>626</v>
      </c>
      <c r="M796" t="s">
        <v>665</v>
      </c>
    </row>
    <row r="797" spans="1:13" hidden="1" x14ac:dyDescent="0.35">
      <c r="A797">
        <v>2010</v>
      </c>
      <c r="B797" t="s">
        <v>187</v>
      </c>
      <c r="C797" t="s">
        <v>242</v>
      </c>
      <c r="D797" t="s">
        <v>85</v>
      </c>
      <c r="E797" t="s">
        <v>242</v>
      </c>
      <c r="F797">
        <f t="shared" si="48"/>
        <v>0</v>
      </c>
      <c r="G797">
        <f t="shared" si="49"/>
        <v>0</v>
      </c>
      <c r="H797">
        <f t="shared" si="50"/>
        <v>0</v>
      </c>
      <c r="I797">
        <f t="shared" si="51"/>
        <v>0</v>
      </c>
      <c r="J797" t="s">
        <v>305</v>
      </c>
      <c r="K797" t="s">
        <v>604</v>
      </c>
      <c r="L797" t="s">
        <v>626</v>
      </c>
      <c r="M797" t="s">
        <v>667</v>
      </c>
    </row>
    <row r="798" spans="1:13" hidden="1" x14ac:dyDescent="0.35">
      <c r="A798">
        <v>2009</v>
      </c>
      <c r="B798" t="s">
        <v>187</v>
      </c>
      <c r="C798" t="s">
        <v>242</v>
      </c>
      <c r="D798" t="s">
        <v>85</v>
      </c>
      <c r="E798" t="s">
        <v>242</v>
      </c>
      <c r="F798">
        <f t="shared" si="48"/>
        <v>1</v>
      </c>
      <c r="G798">
        <f t="shared" si="49"/>
        <v>1</v>
      </c>
      <c r="H798">
        <f t="shared" si="50"/>
        <v>1</v>
      </c>
      <c r="I798">
        <f t="shared" si="51"/>
        <v>1</v>
      </c>
      <c r="J798" t="s">
        <v>305</v>
      </c>
      <c r="K798" t="s">
        <v>604</v>
      </c>
      <c r="L798" t="s">
        <v>638</v>
      </c>
    </row>
    <row r="799" spans="1:13" hidden="1" x14ac:dyDescent="0.35">
      <c r="A799">
        <v>2008</v>
      </c>
      <c r="B799" t="s">
        <v>187</v>
      </c>
      <c r="C799" t="s">
        <v>155</v>
      </c>
      <c r="D799" t="s">
        <v>153</v>
      </c>
      <c r="E799" t="s">
        <v>200</v>
      </c>
      <c r="F799">
        <f t="shared" si="48"/>
        <v>0</v>
      </c>
      <c r="G799">
        <f t="shared" si="49"/>
        <v>0</v>
      </c>
      <c r="H799">
        <f t="shared" si="50"/>
        <v>0</v>
      </c>
      <c r="I799">
        <f t="shared" si="51"/>
        <v>0</v>
      </c>
      <c r="J799" t="s">
        <v>288</v>
      </c>
      <c r="K799" t="s">
        <v>604</v>
      </c>
      <c r="L799" t="s">
        <v>628</v>
      </c>
    </row>
    <row r="800" spans="1:13" hidden="1" x14ac:dyDescent="0.35">
      <c r="A800">
        <v>2007</v>
      </c>
      <c r="B800" t="s">
        <v>187</v>
      </c>
      <c r="C800" t="s">
        <v>155</v>
      </c>
      <c r="D800" t="s">
        <v>153</v>
      </c>
      <c r="E800" t="s">
        <v>200</v>
      </c>
      <c r="F800">
        <f t="shared" si="48"/>
        <v>0</v>
      </c>
      <c r="G800">
        <f t="shared" si="49"/>
        <v>0</v>
      </c>
      <c r="H800">
        <f t="shared" si="50"/>
        <v>0</v>
      </c>
      <c r="I800">
        <f t="shared" si="51"/>
        <v>0</v>
      </c>
      <c r="J800" t="s">
        <v>288</v>
      </c>
      <c r="K800" t="s">
        <v>604</v>
      </c>
      <c r="L800" t="s">
        <v>628</v>
      </c>
    </row>
    <row r="801" spans="1:13" hidden="1" x14ac:dyDescent="0.35">
      <c r="A801">
        <v>2006</v>
      </c>
      <c r="B801" t="s">
        <v>187</v>
      </c>
      <c r="C801" t="s">
        <v>155</v>
      </c>
      <c r="D801" t="s">
        <v>153</v>
      </c>
      <c r="E801" t="s">
        <v>200</v>
      </c>
      <c r="F801">
        <f t="shared" si="48"/>
        <v>0</v>
      </c>
      <c r="G801">
        <f t="shared" si="49"/>
        <v>0</v>
      </c>
      <c r="H801">
        <f t="shared" si="50"/>
        <v>0</v>
      </c>
      <c r="I801">
        <f t="shared" si="51"/>
        <v>0</v>
      </c>
      <c r="J801" t="s">
        <v>288</v>
      </c>
      <c r="K801" t="s">
        <v>604</v>
      </c>
      <c r="L801" t="s">
        <v>628</v>
      </c>
    </row>
    <row r="802" spans="1:13" hidden="1" x14ac:dyDescent="0.35">
      <c r="A802">
        <v>2005</v>
      </c>
      <c r="B802" t="s">
        <v>187</v>
      </c>
      <c r="C802" t="s">
        <v>155</v>
      </c>
      <c r="D802" t="s">
        <v>153</v>
      </c>
      <c r="E802" t="s">
        <v>200</v>
      </c>
      <c r="F802">
        <f t="shared" si="48"/>
        <v>0</v>
      </c>
      <c r="G802">
        <f t="shared" si="49"/>
        <v>0</v>
      </c>
      <c r="H802">
        <f t="shared" si="50"/>
        <v>0</v>
      </c>
      <c r="I802">
        <f t="shared" si="51"/>
        <v>0</v>
      </c>
      <c r="J802" t="s">
        <v>288</v>
      </c>
      <c r="K802" t="s">
        <v>604</v>
      </c>
      <c r="L802" t="s">
        <v>628</v>
      </c>
    </row>
    <row r="803" spans="1:13" hidden="1" x14ac:dyDescent="0.35">
      <c r="A803">
        <v>2004</v>
      </c>
      <c r="B803" t="s">
        <v>187</v>
      </c>
      <c r="C803" t="s">
        <v>155</v>
      </c>
      <c r="D803" t="s">
        <v>153</v>
      </c>
      <c r="E803" t="s">
        <v>200</v>
      </c>
      <c r="F803">
        <f t="shared" si="48"/>
        <v>0</v>
      </c>
      <c r="G803">
        <f t="shared" si="49"/>
        <v>0</v>
      </c>
      <c r="H803">
        <f t="shared" si="50"/>
        <v>0</v>
      </c>
      <c r="I803">
        <f t="shared" si="51"/>
        <v>1</v>
      </c>
      <c r="J803" t="s">
        <v>288</v>
      </c>
      <c r="K803" t="s">
        <v>604</v>
      </c>
      <c r="L803" t="s">
        <v>628</v>
      </c>
    </row>
    <row r="804" spans="1:13" hidden="1" x14ac:dyDescent="0.35">
      <c r="A804">
        <v>2003</v>
      </c>
      <c r="B804" t="s">
        <v>187</v>
      </c>
      <c r="C804" t="s">
        <v>155</v>
      </c>
      <c r="D804" t="s">
        <v>153</v>
      </c>
      <c r="E804" t="s">
        <v>200</v>
      </c>
      <c r="F804">
        <f t="shared" si="48"/>
        <v>0</v>
      </c>
      <c r="G804">
        <f t="shared" si="49"/>
        <v>0</v>
      </c>
      <c r="H804">
        <f t="shared" si="50"/>
        <v>0</v>
      </c>
      <c r="I804">
        <f t="shared" si="51"/>
        <v>0</v>
      </c>
      <c r="J804" t="s">
        <v>394</v>
      </c>
      <c r="K804" t="s">
        <v>604</v>
      </c>
      <c r="L804" t="s">
        <v>628</v>
      </c>
    </row>
    <row r="805" spans="1:13" hidden="1" x14ac:dyDescent="0.35">
      <c r="A805">
        <v>2002</v>
      </c>
      <c r="B805" t="s">
        <v>187</v>
      </c>
      <c r="C805" t="s">
        <v>155</v>
      </c>
      <c r="D805" t="s">
        <v>153</v>
      </c>
      <c r="E805" t="s">
        <v>200</v>
      </c>
      <c r="F805">
        <f t="shared" si="48"/>
        <v>1</v>
      </c>
      <c r="G805">
        <f t="shared" si="49"/>
        <v>1</v>
      </c>
      <c r="H805">
        <f t="shared" si="50"/>
        <v>0</v>
      </c>
      <c r="I805">
        <f t="shared" si="51"/>
        <v>0</v>
      </c>
      <c r="J805" t="s">
        <v>394</v>
      </c>
      <c r="K805" t="s">
        <v>604</v>
      </c>
      <c r="L805" t="s">
        <v>628</v>
      </c>
    </row>
    <row r="806" spans="1:13" hidden="1" x14ac:dyDescent="0.35">
      <c r="A806">
        <v>2001</v>
      </c>
      <c r="B806" t="s">
        <v>187</v>
      </c>
      <c r="C806" t="s">
        <v>501</v>
      </c>
      <c r="D806" t="s">
        <v>41</v>
      </c>
      <c r="E806" t="s">
        <v>200</v>
      </c>
      <c r="F806">
        <f t="shared" si="48"/>
        <v>0</v>
      </c>
      <c r="G806">
        <f t="shared" si="49"/>
        <v>1</v>
      </c>
      <c r="H806">
        <f t="shared" si="50"/>
        <v>0</v>
      </c>
      <c r="I806">
        <f t="shared" si="51"/>
        <v>0</v>
      </c>
      <c r="J806" t="s">
        <v>394</v>
      </c>
      <c r="K806" t="s">
        <v>604</v>
      </c>
      <c r="L806" t="s">
        <v>636</v>
      </c>
    </row>
    <row r="807" spans="1:13" hidden="1" x14ac:dyDescent="0.35">
      <c r="A807">
        <v>2000</v>
      </c>
      <c r="B807" t="s">
        <v>187</v>
      </c>
      <c r="C807" t="s">
        <v>501</v>
      </c>
      <c r="D807" t="s">
        <v>605</v>
      </c>
      <c r="E807" t="s">
        <v>200</v>
      </c>
      <c r="F807">
        <f t="shared" si="48"/>
        <v>0</v>
      </c>
      <c r="G807">
        <f t="shared" si="49"/>
        <v>1</v>
      </c>
      <c r="H807">
        <f t="shared" si="50"/>
        <v>0</v>
      </c>
      <c r="I807">
        <f t="shared" si="51"/>
        <v>0</v>
      </c>
      <c r="J807" t="s">
        <v>394</v>
      </c>
      <c r="K807" t="s">
        <v>604</v>
      </c>
      <c r="L807" t="s">
        <v>501</v>
      </c>
    </row>
    <row r="808" spans="1:13" hidden="1" x14ac:dyDescent="0.35">
      <c r="A808">
        <v>1999</v>
      </c>
      <c r="B808" t="s">
        <v>187</v>
      </c>
      <c r="C808" t="s">
        <v>501</v>
      </c>
      <c r="D808" t="s">
        <v>203</v>
      </c>
      <c r="E808" t="s">
        <v>200</v>
      </c>
      <c r="F808">
        <f t="shared" si="48"/>
        <v>1</v>
      </c>
      <c r="G808">
        <f t="shared" si="49"/>
        <v>1</v>
      </c>
      <c r="H808">
        <f t="shared" si="50"/>
        <v>1</v>
      </c>
      <c r="I808">
        <f t="shared" si="51"/>
        <v>1</v>
      </c>
      <c r="J808" t="s">
        <v>394</v>
      </c>
      <c r="K808" t="s">
        <v>604</v>
      </c>
    </row>
    <row r="809" spans="1:13" x14ac:dyDescent="0.35">
      <c r="A809">
        <v>2025</v>
      </c>
      <c r="B809" t="s">
        <v>33</v>
      </c>
      <c r="C809" t="s">
        <v>139</v>
      </c>
      <c r="D809" t="s">
        <v>139</v>
      </c>
      <c r="E809" t="s">
        <v>682</v>
      </c>
      <c r="F809">
        <f t="shared" si="48"/>
        <v>0</v>
      </c>
      <c r="G809">
        <f t="shared" si="49"/>
        <v>0</v>
      </c>
      <c r="H809">
        <f t="shared" si="50"/>
        <v>0</v>
      </c>
      <c r="I809">
        <f t="shared" si="51"/>
        <v>0</v>
      </c>
      <c r="J809" t="s">
        <v>663</v>
      </c>
      <c r="K809" t="s">
        <v>607</v>
      </c>
      <c r="L809" t="s">
        <v>627</v>
      </c>
      <c r="M809" t="s">
        <v>671</v>
      </c>
    </row>
    <row r="810" spans="1:13" x14ac:dyDescent="0.35">
      <c r="A810">
        <v>2024</v>
      </c>
      <c r="B810" t="s">
        <v>33</v>
      </c>
      <c r="C810" t="s">
        <v>139</v>
      </c>
      <c r="D810" t="s">
        <v>139</v>
      </c>
      <c r="E810" t="s">
        <v>682</v>
      </c>
      <c r="F810">
        <f t="shared" si="48"/>
        <v>1</v>
      </c>
      <c r="G810">
        <f t="shared" si="49"/>
        <v>1</v>
      </c>
      <c r="H810">
        <f t="shared" si="50"/>
        <v>1</v>
      </c>
      <c r="I810">
        <f t="shared" si="51"/>
        <v>0</v>
      </c>
      <c r="J810" t="s">
        <v>663</v>
      </c>
      <c r="K810" t="s">
        <v>607</v>
      </c>
      <c r="L810" t="s">
        <v>627</v>
      </c>
      <c r="M810" t="s">
        <v>671</v>
      </c>
    </row>
    <row r="811" spans="1:13" x14ac:dyDescent="0.35">
      <c r="A811">
        <v>2023</v>
      </c>
      <c r="B811" t="s">
        <v>33</v>
      </c>
      <c r="C811" t="s">
        <v>57</v>
      </c>
      <c r="D811" t="s">
        <v>492</v>
      </c>
      <c r="E811" t="s">
        <v>606</v>
      </c>
      <c r="F811">
        <f t="shared" si="48"/>
        <v>0</v>
      </c>
      <c r="G811">
        <f t="shared" si="49"/>
        <v>1</v>
      </c>
      <c r="H811">
        <f t="shared" si="50"/>
        <v>0</v>
      </c>
      <c r="I811">
        <f t="shared" si="51"/>
        <v>1</v>
      </c>
      <c r="J811" t="s">
        <v>663</v>
      </c>
      <c r="K811" t="s">
        <v>607</v>
      </c>
      <c r="L811" t="s">
        <v>626</v>
      </c>
      <c r="M811" t="s">
        <v>671</v>
      </c>
    </row>
    <row r="812" spans="1:13" x14ac:dyDescent="0.35">
      <c r="A812">
        <v>2022</v>
      </c>
      <c r="B812" t="s">
        <v>33</v>
      </c>
      <c r="C812" t="s">
        <v>57</v>
      </c>
      <c r="D812" t="s">
        <v>158</v>
      </c>
      <c r="E812" t="s">
        <v>606</v>
      </c>
      <c r="F812">
        <f t="shared" si="48"/>
        <v>0</v>
      </c>
      <c r="G812">
        <f t="shared" si="49"/>
        <v>0</v>
      </c>
      <c r="H812">
        <f t="shared" si="50"/>
        <v>0</v>
      </c>
      <c r="I812">
        <f t="shared" si="51"/>
        <v>0</v>
      </c>
      <c r="J812" t="s">
        <v>260</v>
      </c>
      <c r="K812" t="s">
        <v>607</v>
      </c>
      <c r="L812" t="s">
        <v>626</v>
      </c>
      <c r="M812" t="s">
        <v>671</v>
      </c>
    </row>
    <row r="813" spans="1:13" x14ac:dyDescent="0.35">
      <c r="A813">
        <v>2021</v>
      </c>
      <c r="B813" t="s">
        <v>33</v>
      </c>
      <c r="C813" t="s">
        <v>57</v>
      </c>
      <c r="D813" t="s">
        <v>158</v>
      </c>
      <c r="E813" t="s">
        <v>606</v>
      </c>
      <c r="F813">
        <f t="shared" si="48"/>
        <v>0</v>
      </c>
      <c r="G813">
        <f t="shared" si="49"/>
        <v>1</v>
      </c>
      <c r="H813">
        <f t="shared" si="50"/>
        <v>1</v>
      </c>
      <c r="I813">
        <f t="shared" si="51"/>
        <v>0</v>
      </c>
      <c r="J813" t="s">
        <v>260</v>
      </c>
      <c r="K813" t="s">
        <v>607</v>
      </c>
      <c r="L813" t="s">
        <v>626</v>
      </c>
      <c r="M813" t="s">
        <v>671</v>
      </c>
    </row>
    <row r="814" spans="1:13" x14ac:dyDescent="0.35">
      <c r="A814">
        <v>2020</v>
      </c>
      <c r="B814" t="s">
        <v>33</v>
      </c>
      <c r="C814" t="s">
        <v>57</v>
      </c>
      <c r="D814" t="s">
        <v>58</v>
      </c>
      <c r="E814" t="s">
        <v>57</v>
      </c>
      <c r="F814">
        <f t="shared" si="48"/>
        <v>0</v>
      </c>
      <c r="G814">
        <f t="shared" si="49"/>
        <v>0</v>
      </c>
      <c r="H814">
        <f t="shared" si="50"/>
        <v>1</v>
      </c>
      <c r="I814">
        <f t="shared" si="51"/>
        <v>0</v>
      </c>
      <c r="J814" t="s">
        <v>260</v>
      </c>
      <c r="K814" t="s">
        <v>607</v>
      </c>
      <c r="L814" t="s">
        <v>626</v>
      </c>
      <c r="M814" t="s">
        <v>671</v>
      </c>
    </row>
    <row r="815" spans="1:13" x14ac:dyDescent="0.35">
      <c r="A815">
        <v>2019</v>
      </c>
      <c r="B815" t="s">
        <v>33</v>
      </c>
      <c r="C815" t="s">
        <v>57</v>
      </c>
      <c r="D815" t="s">
        <v>58</v>
      </c>
      <c r="E815" t="s">
        <v>59</v>
      </c>
      <c r="F815">
        <f t="shared" si="48"/>
        <v>0</v>
      </c>
      <c r="G815">
        <f t="shared" si="49"/>
        <v>1</v>
      </c>
      <c r="H815">
        <f t="shared" si="50"/>
        <v>0</v>
      </c>
      <c r="I815">
        <f t="shared" si="51"/>
        <v>0</v>
      </c>
      <c r="J815" t="s">
        <v>260</v>
      </c>
      <c r="K815" t="s">
        <v>607</v>
      </c>
      <c r="L815" t="s">
        <v>626</v>
      </c>
      <c r="M815" t="s">
        <v>671</v>
      </c>
    </row>
    <row r="816" spans="1:13" x14ac:dyDescent="0.35">
      <c r="A816">
        <v>2018</v>
      </c>
      <c r="B816" t="s">
        <v>33</v>
      </c>
      <c r="C816" t="s">
        <v>57</v>
      </c>
      <c r="D816" t="s">
        <v>60</v>
      </c>
      <c r="E816" t="s">
        <v>59</v>
      </c>
      <c r="F816">
        <f t="shared" si="48"/>
        <v>1</v>
      </c>
      <c r="G816">
        <f t="shared" si="49"/>
        <v>1</v>
      </c>
      <c r="H816">
        <f t="shared" si="50"/>
        <v>1</v>
      </c>
      <c r="I816">
        <f t="shared" si="51"/>
        <v>0</v>
      </c>
      <c r="J816" t="s">
        <v>260</v>
      </c>
      <c r="K816" t="s">
        <v>607</v>
      </c>
      <c r="L816" t="s">
        <v>627</v>
      </c>
      <c r="M816" t="s">
        <v>671</v>
      </c>
    </row>
    <row r="817" spans="1:13" x14ac:dyDescent="0.35">
      <c r="A817">
        <v>2017</v>
      </c>
      <c r="B817" t="s">
        <v>33</v>
      </c>
      <c r="C817" t="s">
        <v>61</v>
      </c>
      <c r="D817" t="s">
        <v>62</v>
      </c>
      <c r="E817" t="s">
        <v>63</v>
      </c>
      <c r="F817">
        <f t="shared" si="48"/>
        <v>0</v>
      </c>
      <c r="G817">
        <f t="shared" si="49"/>
        <v>0</v>
      </c>
      <c r="H817">
        <f t="shared" si="50"/>
        <v>0</v>
      </c>
      <c r="I817">
        <f t="shared" si="51"/>
        <v>0</v>
      </c>
      <c r="J817" t="s">
        <v>260</v>
      </c>
      <c r="K817" t="s">
        <v>607</v>
      </c>
      <c r="L817" t="s">
        <v>626</v>
      </c>
      <c r="M817" t="s">
        <v>669</v>
      </c>
    </row>
    <row r="818" spans="1:13" x14ac:dyDescent="0.35">
      <c r="A818">
        <v>2016</v>
      </c>
      <c r="B818" t="s">
        <v>33</v>
      </c>
      <c r="C818" t="s">
        <v>61</v>
      </c>
      <c r="D818" t="s">
        <v>62</v>
      </c>
      <c r="E818" t="s">
        <v>63</v>
      </c>
      <c r="F818">
        <f t="shared" si="48"/>
        <v>1</v>
      </c>
      <c r="G818">
        <f t="shared" si="49"/>
        <v>1</v>
      </c>
      <c r="H818">
        <f t="shared" si="50"/>
        <v>1</v>
      </c>
      <c r="I818">
        <f t="shared" si="51"/>
        <v>1</v>
      </c>
      <c r="J818" t="s">
        <v>260</v>
      </c>
      <c r="K818" t="s">
        <v>607</v>
      </c>
      <c r="L818" t="s">
        <v>626</v>
      </c>
      <c r="M818" t="s">
        <v>669</v>
      </c>
    </row>
    <row r="819" spans="1:13" x14ac:dyDescent="0.35">
      <c r="A819">
        <v>2015</v>
      </c>
      <c r="B819" t="s">
        <v>33</v>
      </c>
      <c r="C819" t="s">
        <v>64</v>
      </c>
      <c r="D819" t="s">
        <v>65</v>
      </c>
      <c r="E819" t="s">
        <v>66</v>
      </c>
      <c r="F819">
        <f t="shared" si="48"/>
        <v>0</v>
      </c>
      <c r="G819">
        <f t="shared" si="49"/>
        <v>0</v>
      </c>
      <c r="H819">
        <f t="shared" si="50"/>
        <v>0</v>
      </c>
      <c r="I819">
        <f t="shared" si="51"/>
        <v>0</v>
      </c>
      <c r="J819" t="s">
        <v>261</v>
      </c>
      <c r="K819" t="s">
        <v>609</v>
      </c>
      <c r="L819" t="s">
        <v>623</v>
      </c>
      <c r="M819" t="s">
        <v>671</v>
      </c>
    </row>
    <row r="820" spans="1:13" x14ac:dyDescent="0.35">
      <c r="A820">
        <v>2014</v>
      </c>
      <c r="B820" t="s">
        <v>33</v>
      </c>
      <c r="C820" t="s">
        <v>64</v>
      </c>
      <c r="D820" t="s">
        <v>65</v>
      </c>
      <c r="E820" t="s">
        <v>66</v>
      </c>
      <c r="F820">
        <f t="shared" si="48"/>
        <v>1</v>
      </c>
      <c r="G820">
        <f t="shared" si="49"/>
        <v>1</v>
      </c>
      <c r="H820">
        <f t="shared" si="50"/>
        <v>1</v>
      </c>
      <c r="I820">
        <f t="shared" si="51"/>
        <v>0</v>
      </c>
      <c r="J820" t="s">
        <v>261</v>
      </c>
      <c r="K820" t="s">
        <v>609</v>
      </c>
      <c r="L820" t="s">
        <v>623</v>
      </c>
      <c r="M820" t="s">
        <v>671</v>
      </c>
    </row>
    <row r="821" spans="1:13" x14ac:dyDescent="0.35">
      <c r="A821">
        <v>2013</v>
      </c>
      <c r="B821" t="s">
        <v>33</v>
      </c>
      <c r="C821" t="s">
        <v>67</v>
      </c>
      <c r="D821" t="s">
        <v>39</v>
      </c>
      <c r="E821" t="s">
        <v>68</v>
      </c>
      <c r="F821">
        <f t="shared" si="48"/>
        <v>0</v>
      </c>
      <c r="G821">
        <f t="shared" si="49"/>
        <v>1</v>
      </c>
      <c r="H821">
        <f t="shared" si="50"/>
        <v>0</v>
      </c>
      <c r="I821">
        <f t="shared" si="51"/>
        <v>0</v>
      </c>
      <c r="J821" t="s">
        <v>261</v>
      </c>
      <c r="K821" t="s">
        <v>608</v>
      </c>
      <c r="L821" t="s">
        <v>626</v>
      </c>
      <c r="M821" t="s">
        <v>669</v>
      </c>
    </row>
    <row r="822" spans="1:13" x14ac:dyDescent="0.35">
      <c r="A822">
        <v>2012</v>
      </c>
      <c r="B822" t="s">
        <v>33</v>
      </c>
      <c r="C822" t="s">
        <v>67</v>
      </c>
      <c r="D822" t="s">
        <v>69</v>
      </c>
      <c r="E822" t="s">
        <v>68</v>
      </c>
      <c r="F822">
        <f t="shared" si="48"/>
        <v>0</v>
      </c>
      <c r="G822">
        <f t="shared" si="49"/>
        <v>0</v>
      </c>
      <c r="H822">
        <f t="shared" si="50"/>
        <v>0</v>
      </c>
      <c r="I822">
        <f t="shared" si="51"/>
        <v>1</v>
      </c>
      <c r="J822" t="s">
        <v>261</v>
      </c>
      <c r="K822" t="s">
        <v>608</v>
      </c>
      <c r="L822" t="s">
        <v>623</v>
      </c>
      <c r="M822" t="s">
        <v>669</v>
      </c>
    </row>
    <row r="823" spans="1:13" x14ac:dyDescent="0.35">
      <c r="A823">
        <v>2011</v>
      </c>
      <c r="B823" t="s">
        <v>33</v>
      </c>
      <c r="C823" t="s">
        <v>67</v>
      </c>
      <c r="D823" t="s">
        <v>69</v>
      </c>
      <c r="E823" t="s">
        <v>68</v>
      </c>
      <c r="F823">
        <f t="shared" si="48"/>
        <v>1</v>
      </c>
      <c r="G823">
        <f t="shared" si="49"/>
        <v>1</v>
      </c>
      <c r="H823">
        <f t="shared" si="50"/>
        <v>1</v>
      </c>
      <c r="I823">
        <f t="shared" si="51"/>
        <v>0</v>
      </c>
      <c r="J823" t="s">
        <v>262</v>
      </c>
      <c r="K823" t="s">
        <v>608</v>
      </c>
      <c r="L823" t="s">
        <v>623</v>
      </c>
      <c r="M823" t="s">
        <v>669</v>
      </c>
    </row>
    <row r="824" spans="1:13" hidden="1" x14ac:dyDescent="0.35">
      <c r="A824">
        <v>2010</v>
      </c>
      <c r="B824" t="s">
        <v>33</v>
      </c>
      <c r="C824" t="s">
        <v>70</v>
      </c>
      <c r="D824" t="s">
        <v>71</v>
      </c>
      <c r="E824" t="s">
        <v>72</v>
      </c>
      <c r="F824">
        <f t="shared" si="48"/>
        <v>0</v>
      </c>
      <c r="G824">
        <f t="shared" si="49"/>
        <v>0</v>
      </c>
      <c r="H824">
        <f t="shared" si="50"/>
        <v>0</v>
      </c>
      <c r="I824">
        <f t="shared" si="51"/>
        <v>0</v>
      </c>
      <c r="J824" t="s">
        <v>262</v>
      </c>
      <c r="K824" t="s">
        <v>608</v>
      </c>
      <c r="L824" t="s">
        <v>626</v>
      </c>
      <c r="M824" t="s">
        <v>670</v>
      </c>
    </row>
    <row r="825" spans="1:13" hidden="1" x14ac:dyDescent="0.35">
      <c r="A825">
        <v>2009</v>
      </c>
      <c r="B825" t="s">
        <v>33</v>
      </c>
      <c r="C825" t="s">
        <v>70</v>
      </c>
      <c r="D825" t="s">
        <v>71</v>
      </c>
      <c r="E825" t="s">
        <v>72</v>
      </c>
      <c r="F825">
        <f t="shared" si="48"/>
        <v>0</v>
      </c>
      <c r="G825">
        <f t="shared" si="49"/>
        <v>0</v>
      </c>
      <c r="H825">
        <f t="shared" si="50"/>
        <v>1</v>
      </c>
      <c r="I825">
        <f t="shared" si="51"/>
        <v>0</v>
      </c>
      <c r="J825" t="s">
        <v>262</v>
      </c>
      <c r="K825" t="s">
        <v>608</v>
      </c>
    </row>
    <row r="826" spans="1:13" hidden="1" x14ac:dyDescent="0.35">
      <c r="A826">
        <v>2008</v>
      </c>
      <c r="B826" t="s">
        <v>33</v>
      </c>
      <c r="C826" t="s">
        <v>70</v>
      </c>
      <c r="D826" t="s">
        <v>71</v>
      </c>
      <c r="E826" t="s">
        <v>472</v>
      </c>
      <c r="F826">
        <f t="shared" si="48"/>
        <v>0</v>
      </c>
      <c r="G826">
        <f t="shared" si="49"/>
        <v>1</v>
      </c>
      <c r="H826">
        <f t="shared" si="50"/>
        <v>0</v>
      </c>
      <c r="I826">
        <f t="shared" si="51"/>
        <v>0</v>
      </c>
      <c r="J826" t="s">
        <v>262</v>
      </c>
      <c r="K826" t="s">
        <v>608</v>
      </c>
    </row>
    <row r="827" spans="1:13" hidden="1" x14ac:dyDescent="0.35">
      <c r="A827">
        <v>2007</v>
      </c>
      <c r="B827" t="s">
        <v>33</v>
      </c>
      <c r="C827" t="s">
        <v>70</v>
      </c>
      <c r="D827" t="s">
        <v>610</v>
      </c>
      <c r="E827" t="s">
        <v>472</v>
      </c>
      <c r="F827">
        <f t="shared" si="48"/>
        <v>0</v>
      </c>
      <c r="G827">
        <f t="shared" si="49"/>
        <v>0</v>
      </c>
      <c r="H827">
        <f t="shared" si="50"/>
        <v>0</v>
      </c>
      <c r="I827">
        <f t="shared" si="51"/>
        <v>1</v>
      </c>
      <c r="J827" t="s">
        <v>262</v>
      </c>
      <c r="K827" t="s">
        <v>608</v>
      </c>
    </row>
    <row r="828" spans="1:13" hidden="1" x14ac:dyDescent="0.35">
      <c r="A828">
        <v>2006</v>
      </c>
      <c r="B828" t="s">
        <v>33</v>
      </c>
      <c r="C828" t="s">
        <v>70</v>
      </c>
      <c r="D828" t="s">
        <v>610</v>
      </c>
      <c r="E828" t="s">
        <v>472</v>
      </c>
      <c r="F828">
        <f t="shared" si="48"/>
        <v>0</v>
      </c>
      <c r="G828">
        <f t="shared" si="49"/>
        <v>0</v>
      </c>
      <c r="H828">
        <f t="shared" si="50"/>
        <v>0</v>
      </c>
      <c r="I828">
        <f t="shared" si="51"/>
        <v>0</v>
      </c>
      <c r="J828" t="s">
        <v>611</v>
      </c>
      <c r="K828" t="s">
        <v>608</v>
      </c>
    </row>
    <row r="829" spans="1:13" hidden="1" x14ac:dyDescent="0.35">
      <c r="A829">
        <v>2005</v>
      </c>
      <c r="B829" t="s">
        <v>33</v>
      </c>
      <c r="C829" t="s">
        <v>70</v>
      </c>
      <c r="D829" t="s">
        <v>610</v>
      </c>
      <c r="E829" t="s">
        <v>472</v>
      </c>
      <c r="F829">
        <f t="shared" si="48"/>
        <v>0</v>
      </c>
      <c r="G829">
        <f t="shared" si="49"/>
        <v>1</v>
      </c>
      <c r="H829">
        <f t="shared" si="50"/>
        <v>0</v>
      </c>
      <c r="I829">
        <f t="shared" si="51"/>
        <v>0</v>
      </c>
      <c r="J829" t="s">
        <v>611</v>
      </c>
      <c r="K829" t="s">
        <v>608</v>
      </c>
    </row>
    <row r="830" spans="1:13" hidden="1" x14ac:dyDescent="0.35">
      <c r="A830">
        <v>2004</v>
      </c>
      <c r="B830" t="s">
        <v>33</v>
      </c>
      <c r="C830" t="s">
        <v>70</v>
      </c>
      <c r="D830" t="s">
        <v>71</v>
      </c>
      <c r="E830" t="s">
        <v>472</v>
      </c>
      <c r="F830">
        <f t="shared" si="48"/>
        <v>0</v>
      </c>
      <c r="G830">
        <f t="shared" si="49"/>
        <v>0</v>
      </c>
      <c r="H830">
        <f t="shared" si="50"/>
        <v>0</v>
      </c>
      <c r="I830">
        <f t="shared" si="51"/>
        <v>0</v>
      </c>
      <c r="J830" t="s">
        <v>611</v>
      </c>
      <c r="K830" t="s">
        <v>608</v>
      </c>
    </row>
    <row r="831" spans="1:13" hidden="1" x14ac:dyDescent="0.35">
      <c r="A831">
        <v>2003</v>
      </c>
      <c r="B831" t="s">
        <v>33</v>
      </c>
      <c r="C831" t="s">
        <v>70</v>
      </c>
      <c r="D831" t="s">
        <v>71</v>
      </c>
      <c r="E831" t="s">
        <v>472</v>
      </c>
      <c r="F831">
        <f t="shared" si="48"/>
        <v>0</v>
      </c>
      <c r="G831">
        <f t="shared" si="49"/>
        <v>0</v>
      </c>
      <c r="H831">
        <f t="shared" si="50"/>
        <v>0</v>
      </c>
      <c r="I831">
        <f t="shared" si="51"/>
        <v>0</v>
      </c>
      <c r="J831" t="s">
        <v>611</v>
      </c>
      <c r="K831" t="s">
        <v>608</v>
      </c>
    </row>
    <row r="832" spans="1:13" hidden="1" x14ac:dyDescent="0.35">
      <c r="A832">
        <v>2002</v>
      </c>
      <c r="B832" t="s">
        <v>33</v>
      </c>
      <c r="C832" t="s">
        <v>70</v>
      </c>
      <c r="D832" t="s">
        <v>71</v>
      </c>
      <c r="E832" t="s">
        <v>472</v>
      </c>
      <c r="F832">
        <f t="shared" si="48"/>
        <v>0</v>
      </c>
      <c r="G832">
        <f t="shared" si="49"/>
        <v>0</v>
      </c>
      <c r="H832">
        <f t="shared" si="50"/>
        <v>0</v>
      </c>
      <c r="I832">
        <f t="shared" si="51"/>
        <v>0</v>
      </c>
      <c r="J832" t="s">
        <v>611</v>
      </c>
      <c r="K832" t="s">
        <v>608</v>
      </c>
    </row>
    <row r="833" spans="1:13" hidden="1" x14ac:dyDescent="0.35">
      <c r="A833">
        <v>2001</v>
      </c>
      <c r="B833" t="s">
        <v>33</v>
      </c>
      <c r="C833" t="s">
        <v>70</v>
      </c>
      <c r="D833" t="s">
        <v>71</v>
      </c>
      <c r="E833" t="s">
        <v>472</v>
      </c>
      <c r="F833">
        <f t="shared" si="48"/>
        <v>0</v>
      </c>
      <c r="G833">
        <f t="shared" si="49"/>
        <v>0</v>
      </c>
      <c r="H833">
        <f t="shared" si="50"/>
        <v>1</v>
      </c>
      <c r="I833">
        <f t="shared" si="51"/>
        <v>0</v>
      </c>
      <c r="J833" t="s">
        <v>611</v>
      </c>
      <c r="K833" t="s">
        <v>608</v>
      </c>
    </row>
    <row r="834" spans="1:13" hidden="1" x14ac:dyDescent="0.35">
      <c r="A834">
        <v>2000</v>
      </c>
      <c r="B834" t="s">
        <v>33</v>
      </c>
      <c r="C834" t="s">
        <v>70</v>
      </c>
      <c r="D834" t="s">
        <v>71</v>
      </c>
      <c r="E834" t="s">
        <v>50</v>
      </c>
      <c r="F834">
        <f t="shared" ref="F834:F862" si="52">IF(C834=C835,0,1)</f>
        <v>0</v>
      </c>
      <c r="G834">
        <f t="shared" ref="G834:G862" si="53">IF(D834=D835,0,1)</f>
        <v>1</v>
      </c>
      <c r="H834">
        <f t="shared" ref="H834:H862" si="54">IF(E834=E835,0,1)</f>
        <v>0</v>
      </c>
      <c r="I834">
        <f t="shared" ref="I834:I862" si="55">IF(J834=J835,0,1)</f>
        <v>0</v>
      </c>
      <c r="J834" t="s">
        <v>611</v>
      </c>
      <c r="K834" t="s">
        <v>608</v>
      </c>
    </row>
    <row r="835" spans="1:13" hidden="1" x14ac:dyDescent="0.35">
      <c r="A835">
        <v>1999</v>
      </c>
      <c r="B835" t="s">
        <v>33</v>
      </c>
      <c r="C835" t="s">
        <v>70</v>
      </c>
      <c r="D835" t="s">
        <v>605</v>
      </c>
      <c r="E835" t="s">
        <v>50</v>
      </c>
      <c r="F835">
        <f t="shared" si="52"/>
        <v>1</v>
      </c>
      <c r="G835">
        <f t="shared" si="53"/>
        <v>1</v>
      </c>
      <c r="H835">
        <f t="shared" si="54"/>
        <v>1</v>
      </c>
      <c r="I835">
        <f t="shared" si="55"/>
        <v>1</v>
      </c>
      <c r="J835" t="s">
        <v>611</v>
      </c>
      <c r="K835" t="s">
        <v>608</v>
      </c>
      <c r="L835" t="s">
        <v>501</v>
      </c>
    </row>
    <row r="836" spans="1:13" x14ac:dyDescent="0.35">
      <c r="A836">
        <v>2025</v>
      </c>
      <c r="B836" t="s">
        <v>180</v>
      </c>
      <c r="C836" t="s">
        <v>226</v>
      </c>
      <c r="D836" t="s">
        <v>237</v>
      </c>
      <c r="E836" t="s">
        <v>226</v>
      </c>
      <c r="F836">
        <f t="shared" si="52"/>
        <v>0</v>
      </c>
      <c r="G836">
        <f t="shared" si="53"/>
        <v>0</v>
      </c>
      <c r="H836">
        <f t="shared" si="54"/>
        <v>0</v>
      </c>
      <c r="I836">
        <f t="shared" si="55"/>
        <v>0</v>
      </c>
      <c r="J836" t="s">
        <v>684</v>
      </c>
      <c r="K836" t="s">
        <v>662</v>
      </c>
      <c r="L836" t="s">
        <v>631</v>
      </c>
      <c r="M836" t="s">
        <v>673</v>
      </c>
    </row>
    <row r="837" spans="1:13" x14ac:dyDescent="0.35">
      <c r="A837">
        <v>2024</v>
      </c>
      <c r="B837" t="s">
        <v>180</v>
      </c>
      <c r="C837" t="s">
        <v>226</v>
      </c>
      <c r="D837" t="s">
        <v>237</v>
      </c>
      <c r="E837" t="s">
        <v>226</v>
      </c>
      <c r="F837">
        <f t="shared" si="52"/>
        <v>1</v>
      </c>
      <c r="G837">
        <f t="shared" si="53"/>
        <v>1</v>
      </c>
      <c r="H837">
        <f t="shared" si="54"/>
        <v>1</v>
      </c>
      <c r="I837">
        <f t="shared" si="55"/>
        <v>1</v>
      </c>
      <c r="J837" t="s">
        <v>684</v>
      </c>
      <c r="K837" t="s">
        <v>662</v>
      </c>
      <c r="L837" t="s">
        <v>631</v>
      </c>
      <c r="M837" t="s">
        <v>673</v>
      </c>
    </row>
    <row r="838" spans="1:13" x14ac:dyDescent="0.35">
      <c r="A838">
        <v>2023</v>
      </c>
      <c r="B838" t="s">
        <v>180</v>
      </c>
      <c r="C838" t="s">
        <v>176</v>
      </c>
      <c r="D838" t="s">
        <v>148</v>
      </c>
      <c r="E838" t="s">
        <v>90</v>
      </c>
      <c r="F838">
        <f t="shared" si="52"/>
        <v>0</v>
      </c>
      <c r="G838">
        <f t="shared" si="53"/>
        <v>1</v>
      </c>
      <c r="H838">
        <f t="shared" si="54"/>
        <v>0</v>
      </c>
      <c r="I838">
        <f t="shared" si="55"/>
        <v>1</v>
      </c>
      <c r="J838" t="s">
        <v>297</v>
      </c>
      <c r="K838" t="s">
        <v>662</v>
      </c>
      <c r="L838" t="s">
        <v>631</v>
      </c>
      <c r="M838" t="s">
        <v>670</v>
      </c>
    </row>
    <row r="839" spans="1:13" x14ac:dyDescent="0.35">
      <c r="A839">
        <v>2022</v>
      </c>
      <c r="B839" t="s">
        <v>180</v>
      </c>
      <c r="C839" t="s">
        <v>176</v>
      </c>
      <c r="D839" t="s">
        <v>210</v>
      </c>
      <c r="E839" t="s">
        <v>90</v>
      </c>
      <c r="F839">
        <f t="shared" si="52"/>
        <v>0</v>
      </c>
      <c r="G839">
        <f t="shared" si="53"/>
        <v>0</v>
      </c>
      <c r="H839">
        <f t="shared" si="54"/>
        <v>0</v>
      </c>
      <c r="I839">
        <f t="shared" si="55"/>
        <v>0</v>
      </c>
      <c r="J839" t="s">
        <v>287</v>
      </c>
      <c r="K839" t="s">
        <v>287</v>
      </c>
      <c r="L839" t="s">
        <v>623</v>
      </c>
      <c r="M839" t="s">
        <v>670</v>
      </c>
    </row>
    <row r="840" spans="1:13" x14ac:dyDescent="0.35">
      <c r="A840">
        <v>2021</v>
      </c>
      <c r="B840" t="s">
        <v>180</v>
      </c>
      <c r="C840" t="s">
        <v>176</v>
      </c>
      <c r="D840" t="s">
        <v>210</v>
      </c>
      <c r="E840" t="s">
        <v>90</v>
      </c>
      <c r="F840">
        <f t="shared" si="52"/>
        <v>0</v>
      </c>
      <c r="G840">
        <f t="shared" si="53"/>
        <v>0</v>
      </c>
      <c r="H840">
        <f t="shared" si="54"/>
        <v>0</v>
      </c>
      <c r="I840">
        <f t="shared" si="55"/>
        <v>0</v>
      </c>
      <c r="J840" t="s">
        <v>287</v>
      </c>
      <c r="K840" t="s">
        <v>287</v>
      </c>
      <c r="L840" t="s">
        <v>623</v>
      </c>
      <c r="M840" t="s">
        <v>670</v>
      </c>
    </row>
    <row r="841" spans="1:13" x14ac:dyDescent="0.35">
      <c r="A841">
        <v>2020</v>
      </c>
      <c r="B841" t="s">
        <v>180</v>
      </c>
      <c r="C841" t="s">
        <v>176</v>
      </c>
      <c r="D841" t="s">
        <v>210</v>
      </c>
      <c r="E841" t="s">
        <v>90</v>
      </c>
      <c r="F841">
        <f t="shared" si="52"/>
        <v>1</v>
      </c>
      <c r="G841">
        <f t="shared" si="53"/>
        <v>1</v>
      </c>
      <c r="H841">
        <f t="shared" si="54"/>
        <v>1</v>
      </c>
      <c r="I841">
        <f t="shared" si="55"/>
        <v>1</v>
      </c>
      <c r="J841" t="s">
        <v>287</v>
      </c>
      <c r="K841" t="s">
        <v>287</v>
      </c>
      <c r="L841" t="s">
        <v>623</v>
      </c>
      <c r="M841" t="s">
        <v>670</v>
      </c>
    </row>
    <row r="842" spans="1:13" x14ac:dyDescent="0.35">
      <c r="A842">
        <v>2019</v>
      </c>
      <c r="B842" t="s">
        <v>180</v>
      </c>
      <c r="C842" t="s">
        <v>81</v>
      </c>
      <c r="D842" t="s">
        <v>211</v>
      </c>
      <c r="E842" t="s">
        <v>76</v>
      </c>
      <c r="F842">
        <f t="shared" si="52"/>
        <v>0</v>
      </c>
      <c r="G842">
        <f t="shared" si="53"/>
        <v>1</v>
      </c>
      <c r="H842">
        <f t="shared" si="54"/>
        <v>0</v>
      </c>
      <c r="I842">
        <f t="shared" si="55"/>
        <v>0</v>
      </c>
      <c r="J842" t="s">
        <v>288</v>
      </c>
      <c r="K842" t="s">
        <v>287</v>
      </c>
      <c r="L842" t="s">
        <v>626</v>
      </c>
      <c r="M842" t="s">
        <v>670</v>
      </c>
    </row>
    <row r="843" spans="1:13" x14ac:dyDescent="0.35">
      <c r="A843">
        <v>2018</v>
      </c>
      <c r="B843" t="s">
        <v>180</v>
      </c>
      <c r="C843" t="s">
        <v>81</v>
      </c>
      <c r="D843" t="s">
        <v>407</v>
      </c>
      <c r="E843" t="s">
        <v>76</v>
      </c>
      <c r="F843">
        <f t="shared" si="52"/>
        <v>0</v>
      </c>
      <c r="G843">
        <f t="shared" si="53"/>
        <v>0</v>
      </c>
      <c r="H843">
        <f t="shared" si="54"/>
        <v>0</v>
      </c>
      <c r="I843">
        <f t="shared" si="55"/>
        <v>0</v>
      </c>
      <c r="J843" t="s">
        <v>288</v>
      </c>
      <c r="K843" t="s">
        <v>287</v>
      </c>
      <c r="L843" t="s">
        <v>626</v>
      </c>
      <c r="M843" t="s">
        <v>670</v>
      </c>
    </row>
    <row r="844" spans="1:13" x14ac:dyDescent="0.35">
      <c r="A844">
        <v>2017</v>
      </c>
      <c r="B844" t="s">
        <v>180</v>
      </c>
      <c r="C844" t="s">
        <v>81</v>
      </c>
      <c r="D844" t="s">
        <v>407</v>
      </c>
      <c r="E844" t="s">
        <v>76</v>
      </c>
      <c r="F844">
        <f t="shared" si="52"/>
        <v>0</v>
      </c>
      <c r="G844">
        <f t="shared" si="53"/>
        <v>1</v>
      </c>
      <c r="H844">
        <f t="shared" si="54"/>
        <v>0</v>
      </c>
      <c r="I844">
        <f t="shared" si="55"/>
        <v>0</v>
      </c>
      <c r="J844" t="s">
        <v>288</v>
      </c>
      <c r="K844" t="s">
        <v>287</v>
      </c>
      <c r="L844" t="s">
        <v>626</v>
      </c>
      <c r="M844" t="s">
        <v>670</v>
      </c>
    </row>
    <row r="845" spans="1:13" x14ac:dyDescent="0.35">
      <c r="A845">
        <v>2016</v>
      </c>
      <c r="B845" t="s">
        <v>180</v>
      </c>
      <c r="C845" t="s">
        <v>81</v>
      </c>
      <c r="D845" t="s">
        <v>212</v>
      </c>
      <c r="E845" t="s">
        <v>76</v>
      </c>
      <c r="F845">
        <f t="shared" si="52"/>
        <v>0</v>
      </c>
      <c r="G845">
        <f t="shared" si="53"/>
        <v>0</v>
      </c>
      <c r="H845">
        <f t="shared" si="54"/>
        <v>1</v>
      </c>
      <c r="I845">
        <f t="shared" si="55"/>
        <v>1</v>
      </c>
      <c r="J845" t="s">
        <v>288</v>
      </c>
      <c r="K845" t="s">
        <v>287</v>
      </c>
      <c r="L845" t="s">
        <v>627</v>
      </c>
      <c r="M845" t="s">
        <v>670</v>
      </c>
    </row>
    <row r="846" spans="1:13" x14ac:dyDescent="0.35">
      <c r="A846">
        <v>2015</v>
      </c>
      <c r="B846" t="s">
        <v>180</v>
      </c>
      <c r="C846" t="s">
        <v>81</v>
      </c>
      <c r="D846" t="s">
        <v>212</v>
      </c>
      <c r="E846" t="s">
        <v>214</v>
      </c>
      <c r="F846">
        <f t="shared" si="52"/>
        <v>0</v>
      </c>
      <c r="G846">
        <f t="shared" si="53"/>
        <v>0</v>
      </c>
      <c r="H846">
        <f t="shared" si="54"/>
        <v>0</v>
      </c>
      <c r="I846">
        <f t="shared" si="55"/>
        <v>0</v>
      </c>
      <c r="J846" t="s">
        <v>289</v>
      </c>
      <c r="K846" t="s">
        <v>287</v>
      </c>
      <c r="L846" t="s">
        <v>627</v>
      </c>
      <c r="M846" t="s">
        <v>667</v>
      </c>
    </row>
    <row r="847" spans="1:13" x14ac:dyDescent="0.35">
      <c r="A847">
        <v>2014</v>
      </c>
      <c r="B847" t="s">
        <v>180</v>
      </c>
      <c r="C847" t="s">
        <v>81</v>
      </c>
      <c r="D847" t="s">
        <v>212</v>
      </c>
      <c r="E847" t="s">
        <v>214</v>
      </c>
      <c r="F847">
        <f t="shared" si="52"/>
        <v>1</v>
      </c>
      <c r="G847">
        <f t="shared" si="53"/>
        <v>1</v>
      </c>
      <c r="H847">
        <f t="shared" si="54"/>
        <v>1</v>
      </c>
      <c r="I847">
        <f t="shared" si="55"/>
        <v>1</v>
      </c>
      <c r="J847" t="s">
        <v>289</v>
      </c>
      <c r="K847" t="s">
        <v>287</v>
      </c>
      <c r="L847" t="s">
        <v>627</v>
      </c>
      <c r="M847" t="s">
        <v>667</v>
      </c>
    </row>
    <row r="848" spans="1:13" x14ac:dyDescent="0.35">
      <c r="A848">
        <v>2013</v>
      </c>
      <c r="B848" t="s">
        <v>180</v>
      </c>
      <c r="C848" t="s">
        <v>213</v>
      </c>
      <c r="D848" t="s">
        <v>111</v>
      </c>
      <c r="E848" t="s">
        <v>215</v>
      </c>
      <c r="F848">
        <f t="shared" si="52"/>
        <v>0</v>
      </c>
      <c r="G848">
        <f t="shared" si="53"/>
        <v>0</v>
      </c>
      <c r="H848">
        <f t="shared" si="54"/>
        <v>0</v>
      </c>
      <c r="I848">
        <f t="shared" si="55"/>
        <v>0</v>
      </c>
      <c r="J848" t="s">
        <v>213</v>
      </c>
      <c r="K848" t="s">
        <v>287</v>
      </c>
      <c r="L848" t="s">
        <v>627</v>
      </c>
      <c r="M848" t="s">
        <v>669</v>
      </c>
    </row>
    <row r="849" spans="1:13" x14ac:dyDescent="0.35">
      <c r="A849">
        <v>2012</v>
      </c>
      <c r="B849" t="s">
        <v>180</v>
      </c>
      <c r="C849" t="s">
        <v>213</v>
      </c>
      <c r="D849" t="s">
        <v>111</v>
      </c>
      <c r="E849" t="s">
        <v>215</v>
      </c>
      <c r="F849">
        <f t="shared" si="52"/>
        <v>0</v>
      </c>
      <c r="G849">
        <f t="shared" si="53"/>
        <v>0</v>
      </c>
      <c r="H849">
        <f t="shared" si="54"/>
        <v>0</v>
      </c>
      <c r="I849">
        <f t="shared" si="55"/>
        <v>0</v>
      </c>
      <c r="J849" t="s">
        <v>213</v>
      </c>
      <c r="K849" t="s">
        <v>287</v>
      </c>
      <c r="L849" t="s">
        <v>627</v>
      </c>
      <c r="M849" t="s">
        <v>669</v>
      </c>
    </row>
    <row r="850" spans="1:13" x14ac:dyDescent="0.35">
      <c r="A850">
        <v>2011</v>
      </c>
      <c r="B850" t="s">
        <v>180</v>
      </c>
      <c r="C850" t="s">
        <v>213</v>
      </c>
      <c r="D850" t="s">
        <v>111</v>
      </c>
      <c r="E850" t="s">
        <v>215</v>
      </c>
      <c r="F850">
        <f t="shared" si="52"/>
        <v>0</v>
      </c>
      <c r="G850">
        <f t="shared" si="53"/>
        <v>0</v>
      </c>
      <c r="H850">
        <f t="shared" si="54"/>
        <v>0</v>
      </c>
      <c r="I850">
        <f t="shared" si="55"/>
        <v>0</v>
      </c>
      <c r="J850" t="s">
        <v>213</v>
      </c>
      <c r="K850" t="s">
        <v>287</v>
      </c>
      <c r="L850" t="s">
        <v>627</v>
      </c>
      <c r="M850" t="s">
        <v>669</v>
      </c>
    </row>
    <row r="851" spans="1:13" hidden="1" x14ac:dyDescent="0.35">
      <c r="A851">
        <v>2010</v>
      </c>
      <c r="B851" t="s">
        <v>180</v>
      </c>
      <c r="C851" t="s">
        <v>213</v>
      </c>
      <c r="D851" t="s">
        <v>111</v>
      </c>
      <c r="E851" t="s">
        <v>215</v>
      </c>
      <c r="F851">
        <f t="shared" si="52"/>
        <v>1</v>
      </c>
      <c r="G851">
        <f t="shared" si="53"/>
        <v>1</v>
      </c>
      <c r="H851">
        <f t="shared" si="54"/>
        <v>1</v>
      </c>
      <c r="I851">
        <f t="shared" si="55"/>
        <v>1</v>
      </c>
      <c r="J851" t="s">
        <v>213</v>
      </c>
      <c r="K851" t="s">
        <v>287</v>
      </c>
      <c r="L851" t="s">
        <v>627</v>
      </c>
      <c r="M851" t="s">
        <v>669</v>
      </c>
    </row>
    <row r="852" spans="1:13" hidden="1" x14ac:dyDescent="0.35">
      <c r="A852">
        <v>2009</v>
      </c>
      <c r="B852" t="s">
        <v>180</v>
      </c>
      <c r="C852" t="s">
        <v>612</v>
      </c>
      <c r="D852" t="s">
        <v>613</v>
      </c>
      <c r="E852" t="s">
        <v>436</v>
      </c>
      <c r="F852">
        <f t="shared" si="52"/>
        <v>0</v>
      </c>
      <c r="G852">
        <f t="shared" si="53"/>
        <v>0</v>
      </c>
      <c r="H852">
        <f t="shared" si="54"/>
        <v>0</v>
      </c>
      <c r="I852">
        <f t="shared" si="55"/>
        <v>0</v>
      </c>
      <c r="J852" t="s">
        <v>614</v>
      </c>
      <c r="K852" t="s">
        <v>287</v>
      </c>
    </row>
    <row r="853" spans="1:13" hidden="1" x14ac:dyDescent="0.35">
      <c r="A853">
        <v>2008</v>
      </c>
      <c r="B853" t="s">
        <v>180</v>
      </c>
      <c r="C853" t="s">
        <v>612</v>
      </c>
      <c r="D853" t="s">
        <v>613</v>
      </c>
      <c r="E853" t="s">
        <v>436</v>
      </c>
      <c r="F853">
        <f t="shared" si="52"/>
        <v>1</v>
      </c>
      <c r="G853">
        <f t="shared" si="53"/>
        <v>1</v>
      </c>
      <c r="H853">
        <f t="shared" si="54"/>
        <v>1</v>
      </c>
      <c r="I853">
        <f t="shared" si="55"/>
        <v>0</v>
      </c>
      <c r="J853" t="s">
        <v>614</v>
      </c>
      <c r="K853" t="s">
        <v>287</v>
      </c>
    </row>
    <row r="854" spans="1:13" hidden="1" x14ac:dyDescent="0.35">
      <c r="A854">
        <v>2007</v>
      </c>
      <c r="B854" t="s">
        <v>180</v>
      </c>
      <c r="C854" t="s">
        <v>615</v>
      </c>
      <c r="D854" t="s">
        <v>616</v>
      </c>
      <c r="E854" t="s">
        <v>50</v>
      </c>
      <c r="F854">
        <f t="shared" si="52"/>
        <v>0</v>
      </c>
      <c r="G854">
        <f t="shared" si="53"/>
        <v>0</v>
      </c>
      <c r="H854">
        <f t="shared" si="54"/>
        <v>0</v>
      </c>
      <c r="I854">
        <f t="shared" si="55"/>
        <v>0</v>
      </c>
      <c r="J854" t="s">
        <v>614</v>
      </c>
      <c r="K854" t="s">
        <v>287</v>
      </c>
      <c r="L854" t="s">
        <v>615</v>
      </c>
    </row>
    <row r="855" spans="1:13" hidden="1" x14ac:dyDescent="0.35">
      <c r="A855">
        <v>2006</v>
      </c>
      <c r="B855" t="s">
        <v>180</v>
      </c>
      <c r="C855" t="s">
        <v>615</v>
      </c>
      <c r="D855" t="s">
        <v>616</v>
      </c>
      <c r="E855" t="s">
        <v>50</v>
      </c>
      <c r="F855">
        <f t="shared" si="52"/>
        <v>0</v>
      </c>
      <c r="G855">
        <f t="shared" si="53"/>
        <v>0</v>
      </c>
      <c r="H855">
        <f t="shared" si="54"/>
        <v>0</v>
      </c>
      <c r="I855">
        <f t="shared" si="55"/>
        <v>0</v>
      </c>
      <c r="J855" t="s">
        <v>614</v>
      </c>
      <c r="K855" t="s">
        <v>287</v>
      </c>
      <c r="L855" t="s">
        <v>615</v>
      </c>
    </row>
    <row r="856" spans="1:13" hidden="1" x14ac:dyDescent="0.35">
      <c r="A856">
        <v>2005</v>
      </c>
      <c r="B856" t="s">
        <v>180</v>
      </c>
      <c r="C856" t="s">
        <v>615</v>
      </c>
      <c r="D856" t="s">
        <v>616</v>
      </c>
      <c r="E856" t="s">
        <v>50</v>
      </c>
      <c r="F856">
        <f t="shared" si="52"/>
        <v>0</v>
      </c>
      <c r="G856">
        <f t="shared" si="53"/>
        <v>0</v>
      </c>
      <c r="H856">
        <f t="shared" si="54"/>
        <v>0</v>
      </c>
      <c r="I856">
        <f t="shared" si="55"/>
        <v>0</v>
      </c>
      <c r="J856" t="s">
        <v>614</v>
      </c>
      <c r="K856" t="s">
        <v>287</v>
      </c>
      <c r="L856" t="s">
        <v>615</v>
      </c>
    </row>
    <row r="857" spans="1:13" hidden="1" x14ac:dyDescent="0.35">
      <c r="A857">
        <v>2004</v>
      </c>
      <c r="B857" t="s">
        <v>180</v>
      </c>
      <c r="C857" t="s">
        <v>615</v>
      </c>
      <c r="D857" t="s">
        <v>616</v>
      </c>
      <c r="E857" t="s">
        <v>50</v>
      </c>
      <c r="F857">
        <f t="shared" si="52"/>
        <v>1</v>
      </c>
      <c r="G857">
        <f t="shared" si="53"/>
        <v>1</v>
      </c>
      <c r="H857">
        <f t="shared" si="54"/>
        <v>1</v>
      </c>
      <c r="I857">
        <f t="shared" si="55"/>
        <v>0</v>
      </c>
      <c r="J857" t="s">
        <v>614</v>
      </c>
      <c r="K857" t="s">
        <v>287</v>
      </c>
      <c r="L857" t="s">
        <v>615</v>
      </c>
    </row>
    <row r="858" spans="1:13" hidden="1" x14ac:dyDescent="0.35">
      <c r="A858">
        <v>2003</v>
      </c>
      <c r="B858" t="s">
        <v>180</v>
      </c>
      <c r="C858" t="s">
        <v>617</v>
      </c>
      <c r="D858" t="s">
        <v>109</v>
      </c>
      <c r="E858" t="s">
        <v>21</v>
      </c>
      <c r="F858">
        <f t="shared" si="52"/>
        <v>0</v>
      </c>
      <c r="G858">
        <f t="shared" si="53"/>
        <v>1</v>
      </c>
      <c r="H858">
        <f t="shared" si="54"/>
        <v>1</v>
      </c>
      <c r="I858">
        <f t="shared" si="55"/>
        <v>0</v>
      </c>
      <c r="J858" t="s">
        <v>614</v>
      </c>
      <c r="K858" t="s">
        <v>287</v>
      </c>
      <c r="L858" t="s">
        <v>632</v>
      </c>
    </row>
    <row r="859" spans="1:13" hidden="1" x14ac:dyDescent="0.35">
      <c r="A859">
        <v>2002</v>
      </c>
      <c r="B859" t="s">
        <v>180</v>
      </c>
      <c r="C859" t="s">
        <v>617</v>
      </c>
      <c r="D859" t="s">
        <v>617</v>
      </c>
      <c r="E859" t="s">
        <v>141</v>
      </c>
      <c r="F859">
        <f t="shared" si="52"/>
        <v>1</v>
      </c>
      <c r="G859">
        <f t="shared" si="53"/>
        <v>1</v>
      </c>
      <c r="H859">
        <f t="shared" si="54"/>
        <v>1</v>
      </c>
      <c r="I859">
        <f t="shared" si="55"/>
        <v>1</v>
      </c>
      <c r="J859" t="s">
        <v>614</v>
      </c>
      <c r="K859" t="s">
        <v>287</v>
      </c>
    </row>
    <row r="860" spans="1:13" hidden="1" x14ac:dyDescent="0.35">
      <c r="A860">
        <v>2001</v>
      </c>
      <c r="B860" t="s">
        <v>180</v>
      </c>
      <c r="C860" t="s">
        <v>527</v>
      </c>
      <c r="D860" t="s">
        <v>518</v>
      </c>
      <c r="E860" t="s">
        <v>479</v>
      </c>
      <c r="F860">
        <f t="shared" si="52"/>
        <v>1</v>
      </c>
      <c r="G860">
        <f t="shared" si="53"/>
        <v>1</v>
      </c>
      <c r="H860">
        <f t="shared" si="54"/>
        <v>1</v>
      </c>
      <c r="I860">
        <f t="shared" si="55"/>
        <v>1</v>
      </c>
      <c r="J860" t="s">
        <v>527</v>
      </c>
      <c r="K860" t="s">
        <v>287</v>
      </c>
      <c r="L860" t="s">
        <v>640</v>
      </c>
    </row>
    <row r="861" spans="1:13" hidden="1" x14ac:dyDescent="0.35">
      <c r="A861">
        <v>2000</v>
      </c>
      <c r="B861" t="s">
        <v>180</v>
      </c>
      <c r="C861" t="s">
        <v>112</v>
      </c>
      <c r="D861" t="s">
        <v>112</v>
      </c>
      <c r="E861" t="s">
        <v>463</v>
      </c>
      <c r="F861">
        <f t="shared" si="52"/>
        <v>0</v>
      </c>
      <c r="G861">
        <f t="shared" si="53"/>
        <v>0</v>
      </c>
      <c r="H861">
        <f t="shared" si="54"/>
        <v>1</v>
      </c>
      <c r="I861">
        <f t="shared" si="55"/>
        <v>1</v>
      </c>
      <c r="J861" t="s">
        <v>614</v>
      </c>
      <c r="K861" t="s">
        <v>287</v>
      </c>
    </row>
    <row r="862" spans="1:13" hidden="1" x14ac:dyDescent="0.35">
      <c r="A862">
        <v>1999</v>
      </c>
      <c r="B862" t="s">
        <v>180</v>
      </c>
      <c r="C862" t="s">
        <v>112</v>
      </c>
      <c r="D862" t="s">
        <v>112</v>
      </c>
      <c r="E862" t="s">
        <v>49</v>
      </c>
      <c r="F862">
        <f t="shared" si="52"/>
        <v>1</v>
      </c>
      <c r="G862">
        <f t="shared" si="53"/>
        <v>1</v>
      </c>
      <c r="H862">
        <f t="shared" si="54"/>
        <v>1</v>
      </c>
      <c r="I862">
        <f t="shared" si="55"/>
        <v>1</v>
      </c>
      <c r="J862" t="s">
        <v>496</v>
      </c>
      <c r="K862" t="s">
        <v>287</v>
      </c>
    </row>
  </sheetData>
  <autoFilter ref="A1:M862" xr:uid="{E89F54DD-68E7-48F5-A705-75BB3A052D49}">
    <filterColumn colId="0">
      <customFilters>
        <customFilter operator="greaterThanOrEqual" val="2011"/>
      </customFilters>
    </filterColumn>
    <sortState xmlns:xlrd2="http://schemas.microsoft.com/office/spreadsheetml/2017/richdata2" ref="A2:M862">
      <sortCondition ref="B1:B862"/>
    </sortState>
  </autoFilter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65E1E-4F0D-4FAD-9F36-9B770297E487}">
  <dimension ref="A1:M35"/>
  <sheetViews>
    <sheetView workbookViewId="0">
      <selection activeCell="B7" sqref="B7"/>
    </sheetView>
  </sheetViews>
  <sheetFormatPr defaultRowHeight="15" x14ac:dyDescent="0.35"/>
  <cols>
    <col min="1" max="1" width="9.4375" bestFit="1" customWidth="1"/>
    <col min="2" max="2" width="13.75" customWidth="1"/>
    <col min="3" max="3" width="6.9375" customWidth="1"/>
    <col min="4" max="4" width="9.8125" style="1" customWidth="1"/>
    <col min="5" max="5" width="15.8125" customWidth="1"/>
    <col min="6" max="6" width="15.8125" style="1" customWidth="1"/>
    <col min="7" max="7" width="10.1875" customWidth="1"/>
    <col min="8" max="8" width="12.1875" style="1" customWidth="1"/>
    <col min="9" max="9" width="16.8125" customWidth="1"/>
    <col min="10" max="10" width="6.375" customWidth="1"/>
    <col min="11" max="11" width="9.25" style="1" customWidth="1"/>
    <col min="12" max="12" width="16.8125" customWidth="1"/>
    <col min="13" max="13" width="15.25" customWidth="1"/>
  </cols>
  <sheetData>
    <row r="1" spans="1:13" x14ac:dyDescent="0.35">
      <c r="A1" t="s">
        <v>7</v>
      </c>
      <c r="B1" t="s">
        <v>314</v>
      </c>
      <c r="C1" t="s">
        <v>309</v>
      </c>
      <c r="D1" s="1" t="s">
        <v>316</v>
      </c>
      <c r="E1" t="s">
        <v>310</v>
      </c>
      <c r="F1" s="1" t="s">
        <v>319</v>
      </c>
      <c r="G1" t="s">
        <v>311</v>
      </c>
      <c r="H1" s="1" t="s">
        <v>317</v>
      </c>
      <c r="I1" t="s">
        <v>321</v>
      </c>
      <c r="J1" t="s">
        <v>312</v>
      </c>
      <c r="K1" s="1" t="s">
        <v>318</v>
      </c>
      <c r="L1" t="s">
        <v>322</v>
      </c>
      <c r="M1" t="s">
        <v>320</v>
      </c>
    </row>
    <row r="2" spans="1:13" x14ac:dyDescent="0.35">
      <c r="A2" t="s">
        <v>8</v>
      </c>
      <c r="B2">
        <v>1960</v>
      </c>
      <c r="C2">
        <v>14</v>
      </c>
      <c r="D2" s="1">
        <f t="shared" ref="D2:D35" si="0">C2/(2020-$B2)</f>
        <v>0.23333333333333334</v>
      </c>
      <c r="E2">
        <v>11</v>
      </c>
      <c r="F2" s="1">
        <f t="shared" ref="F2:F35" si="1">(2020-B2)/C2</f>
        <v>4.2857142857142856</v>
      </c>
      <c r="G2">
        <v>3</v>
      </c>
      <c r="H2" s="1">
        <f t="shared" ref="H2:H35" si="2">G2/(2020-$B2)</f>
        <v>0.05</v>
      </c>
      <c r="I2">
        <f>2013-1960</f>
        <v>53</v>
      </c>
      <c r="J2">
        <v>20</v>
      </c>
      <c r="K2" s="1">
        <f t="shared" ref="K2:K35" si="3">J2/(2020-$B2)</f>
        <v>0.33333333333333331</v>
      </c>
      <c r="L2">
        <v>14</v>
      </c>
      <c r="M2" s="1">
        <f t="shared" ref="M2:M35" si="4">(2020-B2)/J2</f>
        <v>3</v>
      </c>
    </row>
    <row r="3" spans="1:13" ht="15.45" x14ac:dyDescent="0.4">
      <c r="A3" t="s">
        <v>22</v>
      </c>
      <c r="B3">
        <v>1960</v>
      </c>
      <c r="C3">
        <v>15</v>
      </c>
      <c r="D3" s="1">
        <f t="shared" si="0"/>
        <v>0.25</v>
      </c>
      <c r="E3" s="3">
        <v>20</v>
      </c>
      <c r="F3" s="1">
        <f t="shared" si="1"/>
        <v>4</v>
      </c>
      <c r="G3">
        <v>4</v>
      </c>
      <c r="H3" s="1">
        <f t="shared" si="2"/>
        <v>6.6666666666666666E-2</v>
      </c>
      <c r="I3">
        <v>27</v>
      </c>
      <c r="J3">
        <v>15</v>
      </c>
      <c r="K3" s="1">
        <f t="shared" si="3"/>
        <v>0.25</v>
      </c>
      <c r="L3" s="3">
        <v>20</v>
      </c>
      <c r="M3" s="1">
        <f t="shared" si="4"/>
        <v>4</v>
      </c>
    </row>
    <row r="4" spans="1:13" x14ac:dyDescent="0.35">
      <c r="A4" t="s">
        <v>27</v>
      </c>
      <c r="B4">
        <v>1966</v>
      </c>
      <c r="C4">
        <v>13</v>
      </c>
      <c r="D4" s="1">
        <f t="shared" si="0"/>
        <v>0.24074074074074073</v>
      </c>
      <c r="E4">
        <f>1995-1970</f>
        <v>25</v>
      </c>
      <c r="F4" s="1">
        <f t="shared" si="1"/>
        <v>4.1538461538461542</v>
      </c>
      <c r="G4">
        <v>4</v>
      </c>
      <c r="H4" s="1">
        <f t="shared" si="2"/>
        <v>7.407407407407407E-2</v>
      </c>
      <c r="I4">
        <f>1989-1966</f>
        <v>23</v>
      </c>
      <c r="J4">
        <v>13</v>
      </c>
      <c r="K4" s="1">
        <f t="shared" si="3"/>
        <v>0.24074074074074073</v>
      </c>
      <c r="L4">
        <f>1995-1970</f>
        <v>25</v>
      </c>
      <c r="M4" s="1">
        <f t="shared" si="4"/>
        <v>4.1538461538461542</v>
      </c>
    </row>
    <row r="5" spans="1:13" x14ac:dyDescent="0.35">
      <c r="A5" t="s">
        <v>28</v>
      </c>
      <c r="B5">
        <v>1960</v>
      </c>
      <c r="C5">
        <v>17</v>
      </c>
      <c r="D5" s="1">
        <f t="shared" si="0"/>
        <v>0.28333333333333333</v>
      </c>
      <c r="E5">
        <v>11</v>
      </c>
      <c r="F5" s="1">
        <f t="shared" si="1"/>
        <v>3.5294117647058822</v>
      </c>
      <c r="G5">
        <v>4</v>
      </c>
      <c r="H5" s="1">
        <f t="shared" si="2"/>
        <v>6.6666666666666666E-2</v>
      </c>
      <c r="I5">
        <f>1999-1963</f>
        <v>36</v>
      </c>
      <c r="J5">
        <v>19</v>
      </c>
      <c r="K5" s="1">
        <f t="shared" si="3"/>
        <v>0.31666666666666665</v>
      </c>
      <c r="L5">
        <v>10</v>
      </c>
      <c r="M5" s="1">
        <f t="shared" si="4"/>
        <v>3.1578947368421053</v>
      </c>
    </row>
    <row r="6" spans="1:13" x14ac:dyDescent="0.35">
      <c r="A6" t="s">
        <v>33</v>
      </c>
      <c r="B6">
        <v>1960</v>
      </c>
      <c r="C6">
        <v>14</v>
      </c>
      <c r="D6" s="1">
        <f t="shared" si="0"/>
        <v>0.23333333333333334</v>
      </c>
      <c r="E6">
        <v>12</v>
      </c>
      <c r="F6" s="1">
        <f t="shared" si="1"/>
        <v>4.2857142857142856</v>
      </c>
      <c r="G6">
        <v>3</v>
      </c>
      <c r="H6" s="1">
        <f t="shared" si="2"/>
        <v>0.05</v>
      </c>
      <c r="I6">
        <f>2013-1960</f>
        <v>53</v>
      </c>
      <c r="J6">
        <v>18</v>
      </c>
      <c r="K6" s="1">
        <f t="shared" si="3"/>
        <v>0.3</v>
      </c>
      <c r="L6">
        <v>16</v>
      </c>
      <c r="M6" s="1">
        <f t="shared" si="4"/>
        <v>3.3333333333333335</v>
      </c>
    </row>
    <row r="7" spans="1:13" x14ac:dyDescent="0.35">
      <c r="A7" t="s">
        <v>32</v>
      </c>
      <c r="B7">
        <v>1953</v>
      </c>
      <c r="C7">
        <v>12</v>
      </c>
      <c r="D7" s="1">
        <f t="shared" si="0"/>
        <v>0.17910447761194029</v>
      </c>
      <c r="E7">
        <v>15</v>
      </c>
      <c r="F7" s="1">
        <f t="shared" si="1"/>
        <v>5.583333333333333</v>
      </c>
      <c r="G7">
        <v>3</v>
      </c>
      <c r="H7" s="1">
        <f t="shared" si="2"/>
        <v>4.4776119402985072E-2</v>
      </c>
      <c r="I7">
        <f>96-72</f>
        <v>24</v>
      </c>
      <c r="J7">
        <v>20</v>
      </c>
      <c r="K7" s="1">
        <f t="shared" si="3"/>
        <v>0.29850746268656714</v>
      </c>
      <c r="L7">
        <v>20</v>
      </c>
      <c r="M7" s="1">
        <f t="shared" si="4"/>
        <v>3.35</v>
      </c>
    </row>
    <row r="8" spans="1:13" ht="15.45" x14ac:dyDescent="0.4">
      <c r="A8" t="s">
        <v>31</v>
      </c>
      <c r="B8">
        <v>1995</v>
      </c>
      <c r="C8">
        <v>5</v>
      </c>
      <c r="D8" s="1">
        <f t="shared" si="0"/>
        <v>0.2</v>
      </c>
      <c r="E8">
        <v>7</v>
      </c>
      <c r="F8" s="1">
        <f t="shared" si="1"/>
        <v>5</v>
      </c>
      <c r="G8">
        <v>2</v>
      </c>
      <c r="H8" s="1">
        <f t="shared" si="2"/>
        <v>0.08</v>
      </c>
      <c r="I8">
        <v>16</v>
      </c>
      <c r="J8">
        <v>6</v>
      </c>
      <c r="K8" s="1">
        <f t="shared" si="3"/>
        <v>0.24</v>
      </c>
      <c r="L8" s="3">
        <f>2002-1995</f>
        <v>7</v>
      </c>
      <c r="M8" s="1">
        <f t="shared" si="4"/>
        <v>4.166666666666667</v>
      </c>
    </row>
    <row r="9" spans="1:13" x14ac:dyDescent="0.35">
      <c r="A9" t="s">
        <v>92</v>
      </c>
      <c r="B9">
        <v>2002</v>
      </c>
      <c r="C9">
        <v>4</v>
      </c>
      <c r="D9" s="1">
        <f t="shared" si="0"/>
        <v>0.22222222222222221</v>
      </c>
      <c r="E9">
        <v>11</v>
      </c>
      <c r="F9" s="1">
        <f t="shared" si="1"/>
        <v>4.5</v>
      </c>
      <c r="G9">
        <v>1</v>
      </c>
      <c r="H9" s="1">
        <f t="shared" si="2"/>
        <v>5.5555555555555552E-2</v>
      </c>
      <c r="I9">
        <v>17</v>
      </c>
      <c r="J9">
        <v>5</v>
      </c>
      <c r="K9" s="1">
        <f t="shared" si="3"/>
        <v>0.27777777777777779</v>
      </c>
      <c r="L9">
        <v>7</v>
      </c>
      <c r="M9" s="1">
        <f t="shared" si="4"/>
        <v>3.6</v>
      </c>
    </row>
    <row r="10" spans="1:13" x14ac:dyDescent="0.35">
      <c r="A10" t="s">
        <v>98</v>
      </c>
      <c r="B10">
        <v>1933</v>
      </c>
      <c r="C10">
        <v>7</v>
      </c>
      <c r="D10" s="1">
        <f t="shared" si="0"/>
        <v>8.0459770114942528E-2</v>
      </c>
      <c r="E10">
        <f>90-71</f>
        <v>19</v>
      </c>
      <c r="F10" s="1">
        <f t="shared" si="1"/>
        <v>12.428571428571429</v>
      </c>
      <c r="G10">
        <v>1</v>
      </c>
      <c r="H10" s="1">
        <f t="shared" si="2"/>
        <v>1.1494252873563218E-2</v>
      </c>
      <c r="I10">
        <f>-1936+2019</f>
        <v>83</v>
      </c>
      <c r="J10">
        <v>16</v>
      </c>
      <c r="K10" s="1">
        <f t="shared" si="3"/>
        <v>0.18390804597701149</v>
      </c>
      <c r="L10">
        <f>91-69</f>
        <v>22</v>
      </c>
      <c r="M10" s="1">
        <f t="shared" si="4"/>
        <v>5.4375</v>
      </c>
    </row>
    <row r="11" spans="1:13" x14ac:dyDescent="0.35">
      <c r="A11" t="s">
        <v>103</v>
      </c>
      <c r="B11">
        <v>1946</v>
      </c>
      <c r="C11">
        <v>15</v>
      </c>
      <c r="D11" s="1">
        <f t="shared" si="0"/>
        <v>0.20270270270270271</v>
      </c>
      <c r="E11">
        <v>16</v>
      </c>
      <c r="F11" s="1">
        <f t="shared" si="1"/>
        <v>4.9333333333333336</v>
      </c>
      <c r="G11">
        <v>7</v>
      </c>
      <c r="H11" s="1">
        <f t="shared" si="2"/>
        <v>9.45945945945946E-2</v>
      </c>
      <c r="I11">
        <v>34</v>
      </c>
      <c r="J11">
        <v>21</v>
      </c>
      <c r="K11" s="1">
        <f t="shared" si="3"/>
        <v>0.28378378378378377</v>
      </c>
      <c r="L11">
        <v>16</v>
      </c>
      <c r="M11" s="1">
        <f t="shared" si="4"/>
        <v>3.5238095238095237</v>
      </c>
    </row>
    <row r="12" spans="1:13" x14ac:dyDescent="0.35">
      <c r="A12" t="s">
        <v>313</v>
      </c>
      <c r="B12">
        <v>1999</v>
      </c>
      <c r="C12">
        <v>9</v>
      </c>
      <c r="D12" s="1">
        <f t="shared" si="0"/>
        <v>0.42857142857142855</v>
      </c>
      <c r="E12">
        <v>3</v>
      </c>
      <c r="F12" s="1">
        <f t="shared" si="1"/>
        <v>2.3333333333333335</v>
      </c>
      <c r="G12">
        <v>2</v>
      </c>
      <c r="H12" s="1">
        <f t="shared" si="2"/>
        <v>9.5238095238095233E-2</v>
      </c>
      <c r="I12">
        <f>2011-1999</f>
        <v>12</v>
      </c>
      <c r="J12">
        <v>11</v>
      </c>
      <c r="K12" s="1">
        <f t="shared" si="3"/>
        <v>0.52380952380952384</v>
      </c>
      <c r="L12">
        <v>3</v>
      </c>
      <c r="M12" s="1">
        <f t="shared" si="4"/>
        <v>1.9090909090909092</v>
      </c>
    </row>
    <row r="13" spans="1:13" x14ac:dyDescent="0.35">
      <c r="A13" t="s">
        <v>315</v>
      </c>
      <c r="B13">
        <v>2012</v>
      </c>
      <c r="C13">
        <v>5</v>
      </c>
      <c r="D13" s="1">
        <f t="shared" si="0"/>
        <v>0.625</v>
      </c>
      <c r="E13">
        <v>2</v>
      </c>
      <c r="F13" s="1">
        <f t="shared" si="1"/>
        <v>1.6</v>
      </c>
      <c r="G13">
        <v>1</v>
      </c>
      <c r="H13" s="1">
        <f t="shared" si="2"/>
        <v>0.125</v>
      </c>
      <c r="I13">
        <f>2019-2011</f>
        <v>8</v>
      </c>
      <c r="J13">
        <v>6</v>
      </c>
      <c r="K13" s="1">
        <f t="shared" si="3"/>
        <v>0.75</v>
      </c>
      <c r="L13">
        <v>2</v>
      </c>
      <c r="M13" s="1">
        <f t="shared" si="4"/>
        <v>1.3333333333333333</v>
      </c>
    </row>
    <row r="14" spans="1:13" ht="15.45" x14ac:dyDescent="0.4">
      <c r="A14" t="s">
        <v>131</v>
      </c>
      <c r="B14">
        <v>1996</v>
      </c>
      <c r="C14">
        <v>2</v>
      </c>
      <c r="D14" s="1">
        <f t="shared" si="0"/>
        <v>8.3333333333333329E-2</v>
      </c>
      <c r="E14" s="3">
        <f>2018-1996</f>
        <v>22</v>
      </c>
      <c r="F14" s="1">
        <f t="shared" si="1"/>
        <v>12</v>
      </c>
      <c r="G14">
        <v>2</v>
      </c>
      <c r="H14" s="1">
        <f t="shared" si="2"/>
        <v>8.3333333333333329E-2</v>
      </c>
      <c r="I14">
        <v>16</v>
      </c>
      <c r="J14">
        <v>3</v>
      </c>
      <c r="K14" s="1">
        <f t="shared" si="3"/>
        <v>0.125</v>
      </c>
      <c r="L14" s="3">
        <v>12</v>
      </c>
      <c r="M14" s="1">
        <f t="shared" si="4"/>
        <v>8</v>
      </c>
    </row>
    <row r="15" spans="1:13" ht="15.45" x14ac:dyDescent="0.4">
      <c r="A15" t="s">
        <v>137</v>
      </c>
      <c r="B15">
        <v>1968</v>
      </c>
      <c r="C15">
        <v>2</v>
      </c>
      <c r="D15" s="1">
        <f t="shared" si="0"/>
        <v>3.8461538461538464E-2</v>
      </c>
      <c r="E15" s="3">
        <f>2019-1991</f>
        <v>28</v>
      </c>
      <c r="F15" s="1">
        <f t="shared" si="1"/>
        <v>26</v>
      </c>
      <c r="G15">
        <v>2</v>
      </c>
      <c r="H15" s="1">
        <f t="shared" si="2"/>
        <v>3.8461538461538464E-2</v>
      </c>
      <c r="I15">
        <v>28</v>
      </c>
      <c r="J15">
        <v>10</v>
      </c>
      <c r="K15" s="1">
        <f t="shared" si="3"/>
        <v>0.19230769230769232</v>
      </c>
      <c r="L15">
        <v>16</v>
      </c>
      <c r="M15" s="1">
        <f t="shared" si="4"/>
        <v>5.2</v>
      </c>
    </row>
    <row r="16" spans="1:13" x14ac:dyDescent="0.35">
      <c r="A16" s="2" t="s">
        <v>146</v>
      </c>
      <c r="B16" s="2">
        <v>1960</v>
      </c>
      <c r="C16">
        <v>7</v>
      </c>
      <c r="D16" s="1">
        <f t="shared" si="0"/>
        <v>0.11666666666666667</v>
      </c>
      <c r="E16">
        <v>19</v>
      </c>
      <c r="F16" s="1">
        <f t="shared" si="1"/>
        <v>8.5714285714285712</v>
      </c>
      <c r="G16">
        <v>1</v>
      </c>
      <c r="H16" s="1">
        <f t="shared" si="2"/>
        <v>1.6666666666666666E-2</v>
      </c>
      <c r="I16">
        <f>2019-1960</f>
        <v>59</v>
      </c>
      <c r="J16">
        <v>13</v>
      </c>
      <c r="K16" s="1">
        <f t="shared" si="3"/>
        <v>0.21666666666666667</v>
      </c>
      <c r="L16">
        <v>14</v>
      </c>
      <c r="M16" s="1">
        <f t="shared" si="4"/>
        <v>4.615384615384615</v>
      </c>
    </row>
    <row r="17" spans="1:13" x14ac:dyDescent="0.35">
      <c r="A17" s="2" t="s">
        <v>154</v>
      </c>
      <c r="B17" s="2">
        <v>1960</v>
      </c>
      <c r="C17">
        <v>7</v>
      </c>
      <c r="D17" s="1">
        <f t="shared" si="0"/>
        <v>0.11666666666666667</v>
      </c>
      <c r="E17">
        <f>2010-1963</f>
        <v>47</v>
      </c>
      <c r="F17" s="1">
        <f t="shared" si="1"/>
        <v>8.5714285714285712</v>
      </c>
      <c r="G17">
        <v>3</v>
      </c>
      <c r="H17" s="1">
        <f t="shared" si="2"/>
        <v>0.05</v>
      </c>
      <c r="I17">
        <f>2019-1966</f>
        <v>53</v>
      </c>
      <c r="J17">
        <v>20</v>
      </c>
      <c r="K17" s="1">
        <f t="shared" si="3"/>
        <v>0.33333333333333331</v>
      </c>
      <c r="L17">
        <v>9</v>
      </c>
      <c r="M17" s="1">
        <f t="shared" si="4"/>
        <v>3</v>
      </c>
    </row>
    <row r="18" spans="1:13" x14ac:dyDescent="0.35">
      <c r="A18" s="2" t="s">
        <v>30</v>
      </c>
      <c r="B18" s="2">
        <v>1960</v>
      </c>
      <c r="C18">
        <v>13</v>
      </c>
      <c r="D18" s="1">
        <f t="shared" si="0"/>
        <v>0.21666666666666667</v>
      </c>
      <c r="E18">
        <v>15</v>
      </c>
      <c r="F18" s="1">
        <f t="shared" si="1"/>
        <v>4.615384615384615</v>
      </c>
      <c r="G18">
        <v>5</v>
      </c>
      <c r="H18" s="1">
        <f t="shared" si="2"/>
        <v>8.3333333333333329E-2</v>
      </c>
      <c r="I18">
        <f>118-84</f>
        <v>34</v>
      </c>
      <c r="J18">
        <v>17</v>
      </c>
      <c r="K18" s="1">
        <f t="shared" si="3"/>
        <v>0.28333333333333333</v>
      </c>
      <c r="L18">
        <v>13</v>
      </c>
      <c r="M18" s="1">
        <f t="shared" si="4"/>
        <v>3.5294117647058822</v>
      </c>
    </row>
    <row r="19" spans="1:13" ht="15.45" x14ac:dyDescent="0.4">
      <c r="A19" s="2" t="s">
        <v>29</v>
      </c>
      <c r="B19" s="2">
        <v>1960</v>
      </c>
      <c r="C19">
        <v>9</v>
      </c>
      <c r="D19" s="1">
        <f t="shared" si="0"/>
        <v>0.15</v>
      </c>
      <c r="E19" s="3">
        <v>10</v>
      </c>
      <c r="F19" s="1">
        <f t="shared" si="1"/>
        <v>6.666666666666667</v>
      </c>
      <c r="G19">
        <v>3</v>
      </c>
      <c r="H19" s="1">
        <f t="shared" si="2"/>
        <v>0.05</v>
      </c>
      <c r="I19">
        <f>119-84</f>
        <v>35</v>
      </c>
      <c r="J19">
        <v>16</v>
      </c>
      <c r="K19" s="1">
        <f t="shared" si="3"/>
        <v>0.26666666666666666</v>
      </c>
      <c r="L19">
        <v>11</v>
      </c>
      <c r="M19" s="1">
        <f t="shared" si="4"/>
        <v>3.75</v>
      </c>
    </row>
    <row r="20" spans="1:13" ht="15.45" x14ac:dyDescent="0.4">
      <c r="A20" t="s">
        <v>177</v>
      </c>
      <c r="B20">
        <v>1933</v>
      </c>
      <c r="C20">
        <v>14</v>
      </c>
      <c r="D20" s="1">
        <f t="shared" si="0"/>
        <v>0.16091954022988506</v>
      </c>
      <c r="E20" s="3">
        <v>11</v>
      </c>
      <c r="F20" s="1">
        <f t="shared" si="1"/>
        <v>6.2142857142857144</v>
      </c>
      <c r="G20">
        <v>7</v>
      </c>
      <c r="H20" s="1">
        <f t="shared" si="2"/>
        <v>8.0459770114942528E-2</v>
      </c>
      <c r="I20">
        <f>119-94</f>
        <v>25</v>
      </c>
      <c r="J20">
        <v>24</v>
      </c>
      <c r="K20" s="1">
        <f t="shared" si="3"/>
        <v>0.27586206896551724</v>
      </c>
      <c r="L20">
        <v>13</v>
      </c>
      <c r="M20" s="1">
        <f t="shared" si="4"/>
        <v>3.625</v>
      </c>
    </row>
    <row r="21" spans="1:13" ht="15.45" x14ac:dyDescent="0.4">
      <c r="A21" t="s">
        <v>178</v>
      </c>
      <c r="B21">
        <v>1960</v>
      </c>
      <c r="C21">
        <v>3</v>
      </c>
      <c r="D21" s="1">
        <f t="shared" si="0"/>
        <v>0.05</v>
      </c>
      <c r="E21" s="3">
        <f>119-89</f>
        <v>30</v>
      </c>
      <c r="F21" s="1">
        <f t="shared" si="1"/>
        <v>20</v>
      </c>
      <c r="G21">
        <v>3</v>
      </c>
      <c r="H21" s="1">
        <f t="shared" si="2"/>
        <v>0.05</v>
      </c>
      <c r="I21">
        <v>30</v>
      </c>
      <c r="J21">
        <v>9</v>
      </c>
      <c r="K21" s="1">
        <f t="shared" si="3"/>
        <v>0.15</v>
      </c>
      <c r="L21">
        <v>28</v>
      </c>
      <c r="M21" s="1">
        <f t="shared" si="4"/>
        <v>6.666666666666667</v>
      </c>
    </row>
    <row r="22" spans="1:13" x14ac:dyDescent="0.35">
      <c r="A22" t="s">
        <v>179</v>
      </c>
      <c r="B22">
        <v>1925</v>
      </c>
      <c r="C22">
        <v>6</v>
      </c>
      <c r="D22" s="1">
        <f t="shared" si="0"/>
        <v>6.3157894736842107E-2</v>
      </c>
      <c r="E22">
        <v>26</v>
      </c>
      <c r="F22" s="1">
        <f t="shared" si="1"/>
        <v>15.833333333333334</v>
      </c>
      <c r="G22">
        <v>2</v>
      </c>
      <c r="H22" s="1">
        <f t="shared" si="2"/>
        <v>2.1052631578947368E-2</v>
      </c>
      <c r="I22">
        <f>120-25</f>
        <v>95</v>
      </c>
      <c r="J22">
        <v>21</v>
      </c>
      <c r="K22" s="1">
        <f t="shared" si="3"/>
        <v>0.22105263157894736</v>
      </c>
      <c r="L22">
        <v>23</v>
      </c>
      <c r="M22" s="1">
        <f t="shared" si="4"/>
        <v>4.5238095238095237</v>
      </c>
    </row>
    <row r="23" spans="1:13" x14ac:dyDescent="0.35">
      <c r="A23" t="s">
        <v>180</v>
      </c>
      <c r="B23">
        <v>1932</v>
      </c>
      <c r="C23">
        <v>15</v>
      </c>
      <c r="D23" s="1">
        <f t="shared" si="0"/>
        <v>0.17045454545454544</v>
      </c>
      <c r="E23">
        <v>25</v>
      </c>
      <c r="F23" s="1">
        <f t="shared" si="1"/>
        <v>5.8666666666666663</v>
      </c>
      <c r="G23">
        <v>4</v>
      </c>
      <c r="H23" s="1">
        <f t="shared" si="2"/>
        <v>4.5454545454545456E-2</v>
      </c>
      <c r="I23">
        <v>32</v>
      </c>
      <c r="J23">
        <v>30</v>
      </c>
      <c r="K23" s="1">
        <f t="shared" si="3"/>
        <v>0.34090909090909088</v>
      </c>
      <c r="L23">
        <v>11</v>
      </c>
      <c r="M23" s="1">
        <f t="shared" si="4"/>
        <v>2.9333333333333331</v>
      </c>
    </row>
    <row r="24" spans="1:13" ht="15.45" x14ac:dyDescent="0.4">
      <c r="A24" t="s">
        <v>166</v>
      </c>
      <c r="B24">
        <v>1961</v>
      </c>
      <c r="C24">
        <v>8</v>
      </c>
      <c r="D24" s="1">
        <f t="shared" si="0"/>
        <v>0.13559322033898305</v>
      </c>
      <c r="E24" s="3">
        <v>15</v>
      </c>
      <c r="F24" s="1">
        <f t="shared" si="1"/>
        <v>7.375</v>
      </c>
      <c r="G24">
        <v>5</v>
      </c>
      <c r="H24" s="1">
        <f t="shared" si="2"/>
        <v>8.4745762711864403E-2</v>
      </c>
      <c r="I24">
        <v>27</v>
      </c>
      <c r="J24">
        <v>9</v>
      </c>
      <c r="K24" s="1">
        <f t="shared" si="3"/>
        <v>0.15254237288135594</v>
      </c>
      <c r="L24">
        <v>18</v>
      </c>
      <c r="M24" s="1">
        <f t="shared" si="4"/>
        <v>6.5555555555555554</v>
      </c>
    </row>
    <row r="25" spans="1:13" x14ac:dyDescent="0.35">
      <c r="A25" t="s">
        <v>181</v>
      </c>
      <c r="B25">
        <v>1921</v>
      </c>
      <c r="C25">
        <v>15</v>
      </c>
      <c r="D25" s="1">
        <f t="shared" si="0"/>
        <v>0.15151515151515152</v>
      </c>
      <c r="E25">
        <v>19</v>
      </c>
      <c r="F25" s="1">
        <f t="shared" si="1"/>
        <v>6.6</v>
      </c>
      <c r="G25">
        <v>7</v>
      </c>
      <c r="H25" s="1">
        <f t="shared" si="2"/>
        <v>7.0707070707070704E-2</v>
      </c>
      <c r="I25">
        <v>23</v>
      </c>
      <c r="J25">
        <v>16</v>
      </c>
      <c r="K25" s="1">
        <f t="shared" si="3"/>
        <v>0.16161616161616163</v>
      </c>
      <c r="L25">
        <v>18</v>
      </c>
      <c r="M25" s="1">
        <f t="shared" si="4"/>
        <v>6.1875</v>
      </c>
    </row>
    <row r="26" spans="1:13" x14ac:dyDescent="0.35">
      <c r="A26" t="s">
        <v>182</v>
      </c>
      <c r="B26">
        <v>1920</v>
      </c>
      <c r="C26">
        <v>10</v>
      </c>
      <c r="D26" s="1">
        <f t="shared" si="0"/>
        <v>0.1</v>
      </c>
      <c r="E26">
        <v>26</v>
      </c>
      <c r="F26" s="1">
        <f t="shared" si="1"/>
        <v>10</v>
      </c>
      <c r="G26">
        <v>1</v>
      </c>
      <c r="H26" s="1">
        <f t="shared" si="2"/>
        <v>0.01</v>
      </c>
      <c r="I26">
        <f>2020-1936</f>
        <v>84</v>
      </c>
      <c r="J26">
        <v>16</v>
      </c>
      <c r="K26" s="1">
        <f t="shared" si="3"/>
        <v>0.16</v>
      </c>
      <c r="L26">
        <v>10</v>
      </c>
      <c r="M26" s="1">
        <f t="shared" si="4"/>
        <v>6.25</v>
      </c>
    </row>
    <row r="27" spans="1:13" x14ac:dyDescent="0.35">
      <c r="A27" t="s">
        <v>165</v>
      </c>
      <c r="B27">
        <v>1930</v>
      </c>
      <c r="C27">
        <v>10</v>
      </c>
      <c r="D27" s="1">
        <f t="shared" si="0"/>
        <v>0.1111111111111111</v>
      </c>
      <c r="E27">
        <v>21</v>
      </c>
      <c r="F27" s="1">
        <f t="shared" si="1"/>
        <v>9</v>
      </c>
      <c r="G27">
        <v>4</v>
      </c>
      <c r="H27" s="1">
        <f t="shared" si="2"/>
        <v>4.4444444444444446E-2</v>
      </c>
      <c r="I27">
        <f>2020-1961</f>
        <v>59</v>
      </c>
      <c r="J27">
        <v>27</v>
      </c>
      <c r="K27" s="1">
        <f t="shared" si="3"/>
        <v>0.3</v>
      </c>
      <c r="L27">
        <v>8</v>
      </c>
      <c r="M27" s="1">
        <f t="shared" si="4"/>
        <v>3.3333333333333335</v>
      </c>
    </row>
    <row r="28" spans="1:13" ht="15.45" x14ac:dyDescent="0.4">
      <c r="A28" t="s">
        <v>183</v>
      </c>
      <c r="B28">
        <v>1976</v>
      </c>
      <c r="C28">
        <v>9</v>
      </c>
      <c r="D28" s="1">
        <f t="shared" si="0"/>
        <v>0.20454545454545456</v>
      </c>
      <c r="E28" s="3">
        <v>10</v>
      </c>
      <c r="F28" s="1">
        <f t="shared" si="1"/>
        <v>4.8888888888888893</v>
      </c>
      <c r="G28">
        <v>3</v>
      </c>
      <c r="H28" s="1">
        <f t="shared" si="2"/>
        <v>6.8181818181818177E-2</v>
      </c>
      <c r="I28">
        <f>2020-1997</f>
        <v>23</v>
      </c>
      <c r="J28">
        <v>8</v>
      </c>
      <c r="K28" s="1">
        <f t="shared" si="3"/>
        <v>0.18181818181818182</v>
      </c>
      <c r="L28" s="3">
        <v>10</v>
      </c>
      <c r="M28" s="1">
        <f t="shared" si="4"/>
        <v>5.5</v>
      </c>
    </row>
    <row r="29" spans="1:13" x14ac:dyDescent="0.35">
      <c r="A29" t="s">
        <v>184</v>
      </c>
      <c r="B29">
        <v>1946</v>
      </c>
      <c r="C29">
        <v>11</v>
      </c>
      <c r="D29" s="1">
        <f t="shared" si="0"/>
        <v>0.14864864864864866</v>
      </c>
      <c r="E29">
        <v>21</v>
      </c>
      <c r="F29" s="1">
        <f t="shared" si="1"/>
        <v>6.7272727272727275</v>
      </c>
      <c r="G29">
        <v>2</v>
      </c>
      <c r="H29" s="1">
        <f t="shared" si="2"/>
        <v>2.7027027027027029E-2</v>
      </c>
      <c r="I29">
        <f>2020-1977</f>
        <v>43</v>
      </c>
      <c r="J29">
        <v>20</v>
      </c>
      <c r="K29" s="1">
        <f t="shared" si="3"/>
        <v>0.27027027027027029</v>
      </c>
      <c r="L29">
        <v>9</v>
      </c>
      <c r="M29" s="1">
        <f t="shared" si="4"/>
        <v>3.7</v>
      </c>
    </row>
    <row r="30" spans="1:13" ht="15.45" x14ac:dyDescent="0.4">
      <c r="A30" t="s">
        <v>185</v>
      </c>
      <c r="B30">
        <v>1937</v>
      </c>
      <c r="C30">
        <v>15</v>
      </c>
      <c r="D30" s="1">
        <f t="shared" si="0"/>
        <v>0.18072289156626506</v>
      </c>
      <c r="E30" s="3">
        <v>11</v>
      </c>
      <c r="F30" s="1">
        <f t="shared" si="1"/>
        <v>5.5333333333333332</v>
      </c>
      <c r="G30">
        <v>8</v>
      </c>
      <c r="H30" s="1">
        <f t="shared" si="2"/>
        <v>9.6385542168674704E-2</v>
      </c>
      <c r="I30">
        <v>29</v>
      </c>
      <c r="J30">
        <v>27</v>
      </c>
      <c r="K30" s="1">
        <f t="shared" si="3"/>
        <v>0.3253012048192771</v>
      </c>
      <c r="L30">
        <v>8</v>
      </c>
      <c r="M30" s="1">
        <f t="shared" si="4"/>
        <v>3.074074074074074</v>
      </c>
    </row>
    <row r="31" spans="1:13" x14ac:dyDescent="0.35">
      <c r="A31" t="s">
        <v>186</v>
      </c>
      <c r="B31">
        <v>1920</v>
      </c>
      <c r="C31">
        <v>10</v>
      </c>
      <c r="D31" s="1">
        <f t="shared" si="0"/>
        <v>0.1</v>
      </c>
      <c r="E31">
        <v>15</v>
      </c>
      <c r="F31" s="1">
        <f t="shared" si="1"/>
        <v>10</v>
      </c>
      <c r="G31">
        <v>1</v>
      </c>
      <c r="H31" s="1">
        <f t="shared" si="2"/>
        <v>0.01</v>
      </c>
      <c r="I31">
        <f>120-36</f>
        <v>84</v>
      </c>
      <c r="J31">
        <v>42</v>
      </c>
      <c r="K31" s="1">
        <f t="shared" si="3"/>
        <v>0.42</v>
      </c>
      <c r="L31">
        <v>6</v>
      </c>
      <c r="M31" s="1">
        <f t="shared" si="4"/>
        <v>2.3809523809523809</v>
      </c>
    </row>
    <row r="32" spans="1:13" x14ac:dyDescent="0.35">
      <c r="A32" t="s">
        <v>187</v>
      </c>
      <c r="B32">
        <v>1976</v>
      </c>
      <c r="C32">
        <v>6</v>
      </c>
      <c r="D32" s="1">
        <f t="shared" si="0"/>
        <v>0.13636363636363635</v>
      </c>
      <c r="E32">
        <v>8</v>
      </c>
      <c r="F32" s="1">
        <f t="shared" si="1"/>
        <v>7.333333333333333</v>
      </c>
      <c r="G32">
        <v>2</v>
      </c>
      <c r="H32" s="1">
        <f t="shared" si="2"/>
        <v>4.5454545454545456E-2</v>
      </c>
      <c r="I32">
        <v>25</v>
      </c>
      <c r="J32">
        <v>12</v>
      </c>
      <c r="K32" s="1">
        <f t="shared" si="3"/>
        <v>0.27272727272727271</v>
      </c>
      <c r="L32">
        <v>8</v>
      </c>
      <c r="M32" s="1">
        <f t="shared" si="4"/>
        <v>3.6666666666666665</v>
      </c>
    </row>
    <row r="33" spans="1:13" ht="15.45" x14ac:dyDescent="0.4">
      <c r="A33" t="s">
        <v>188</v>
      </c>
      <c r="B33">
        <v>1967</v>
      </c>
      <c r="C33">
        <v>11</v>
      </c>
      <c r="D33" s="1">
        <f t="shared" si="0"/>
        <v>0.20754716981132076</v>
      </c>
      <c r="E33" s="3">
        <v>17</v>
      </c>
      <c r="F33" s="1">
        <f t="shared" si="1"/>
        <v>4.8181818181818183</v>
      </c>
      <c r="G33">
        <v>2</v>
      </c>
      <c r="H33" s="1">
        <f t="shared" si="2"/>
        <v>3.7735849056603772E-2</v>
      </c>
      <c r="I33" s="3">
        <f>2020-1985</f>
        <v>35</v>
      </c>
      <c r="J33">
        <v>16</v>
      </c>
      <c r="K33" s="1">
        <f t="shared" si="3"/>
        <v>0.30188679245283018</v>
      </c>
      <c r="L33" s="3">
        <v>14</v>
      </c>
      <c r="M33" s="1">
        <f t="shared" si="4"/>
        <v>3.3125</v>
      </c>
    </row>
    <row r="34" spans="1:13" ht="15.45" x14ac:dyDescent="0.4">
      <c r="A34" t="s">
        <v>189</v>
      </c>
      <c r="B34">
        <f>1995</f>
        <v>1995</v>
      </c>
      <c r="C34">
        <v>6</v>
      </c>
      <c r="D34" s="1">
        <f t="shared" si="0"/>
        <v>0.24</v>
      </c>
      <c r="E34" s="3">
        <v>4</v>
      </c>
      <c r="F34" s="1">
        <f t="shared" si="1"/>
        <v>4.166666666666667</v>
      </c>
      <c r="G34">
        <v>2</v>
      </c>
      <c r="H34" s="1">
        <f t="shared" si="2"/>
        <v>0.08</v>
      </c>
      <c r="I34">
        <f>2017-1995</f>
        <v>22</v>
      </c>
      <c r="J34">
        <v>6</v>
      </c>
      <c r="K34" s="1">
        <f t="shared" si="3"/>
        <v>0.24</v>
      </c>
      <c r="L34">
        <v>8</v>
      </c>
      <c r="M34" s="1">
        <f t="shared" si="4"/>
        <v>4.166666666666667</v>
      </c>
    </row>
    <row r="35" spans="1:13" ht="15.45" x14ac:dyDescent="0.4">
      <c r="A35" t="s">
        <v>190</v>
      </c>
      <c r="B35">
        <v>1966</v>
      </c>
      <c r="C35">
        <v>10</v>
      </c>
      <c r="D35" s="1">
        <f t="shared" si="0"/>
        <v>0.18518518518518517</v>
      </c>
      <c r="E35" s="3">
        <v>11</v>
      </c>
      <c r="F35" s="1">
        <f t="shared" si="1"/>
        <v>5.4</v>
      </c>
      <c r="G35">
        <v>2</v>
      </c>
      <c r="H35" s="1">
        <f t="shared" si="2"/>
        <v>3.7037037037037035E-2</v>
      </c>
      <c r="I35">
        <f>2001-1966</f>
        <v>35</v>
      </c>
      <c r="J35">
        <v>16</v>
      </c>
      <c r="K35" s="1">
        <f t="shared" si="3"/>
        <v>0.29629629629629628</v>
      </c>
      <c r="L35">
        <v>6</v>
      </c>
      <c r="M35" s="1">
        <f t="shared" si="4"/>
        <v>3.375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16274-9036-4A68-8280-7D535AE415BB}">
  <dimension ref="A1:P48"/>
  <sheetViews>
    <sheetView workbookViewId="0">
      <selection activeCell="H44" sqref="H44"/>
    </sheetView>
  </sheetViews>
  <sheetFormatPr defaultRowHeight="15" x14ac:dyDescent="0.35"/>
  <cols>
    <col min="2" max="2" width="15.9375" bestFit="1" customWidth="1"/>
    <col min="3" max="3" width="10.375" bestFit="1" customWidth="1"/>
    <col min="6" max="6" width="10.8125" bestFit="1" customWidth="1"/>
    <col min="7" max="7" width="11" bestFit="1" customWidth="1"/>
    <col min="11" max="11" width="15.4375" bestFit="1" customWidth="1"/>
  </cols>
  <sheetData>
    <row r="1" spans="1:16" x14ac:dyDescent="0.35">
      <c r="A1" s="8" t="s">
        <v>345</v>
      </c>
      <c r="B1" s="8"/>
      <c r="J1" s="8" t="s">
        <v>346</v>
      </c>
      <c r="K1" s="8"/>
    </row>
    <row r="2" spans="1:16" x14ac:dyDescent="0.35">
      <c r="A2" t="s">
        <v>324</v>
      </c>
      <c r="B2" t="s">
        <v>325</v>
      </c>
      <c r="C2" t="s">
        <v>330</v>
      </c>
      <c r="D2" t="s">
        <v>326</v>
      </c>
      <c r="E2" t="s">
        <v>327</v>
      </c>
      <c r="F2" t="s">
        <v>328</v>
      </c>
      <c r="G2" t="s">
        <v>329</v>
      </c>
      <c r="J2" t="s">
        <v>324</v>
      </c>
      <c r="K2" t="s">
        <v>325</v>
      </c>
      <c r="L2" t="s">
        <v>330</v>
      </c>
      <c r="M2" t="s">
        <v>326</v>
      </c>
      <c r="N2" t="s">
        <v>327</v>
      </c>
      <c r="O2" t="s">
        <v>328</v>
      </c>
      <c r="P2" t="s">
        <v>329</v>
      </c>
    </row>
    <row r="3" spans="1:16" ht="15.45" x14ac:dyDescent="0.4">
      <c r="A3" t="s">
        <v>0</v>
      </c>
      <c r="B3" s="6" t="s">
        <v>104</v>
      </c>
      <c r="C3">
        <f>2020-2006</f>
        <v>14</v>
      </c>
      <c r="D3">
        <v>0</v>
      </c>
      <c r="E3">
        <v>0</v>
      </c>
      <c r="F3">
        <v>5</v>
      </c>
      <c r="G3">
        <v>13</v>
      </c>
      <c r="J3" t="s">
        <v>0</v>
      </c>
      <c r="K3" s="6" t="s">
        <v>106</v>
      </c>
      <c r="L3">
        <f>2019-2006</f>
        <v>13</v>
      </c>
      <c r="M3">
        <v>0</v>
      </c>
      <c r="N3">
        <v>1</v>
      </c>
      <c r="O3">
        <v>5</v>
      </c>
      <c r="P3">
        <v>10</v>
      </c>
    </row>
    <row r="4" spans="1:16" x14ac:dyDescent="0.35">
      <c r="A4" t="s">
        <v>1</v>
      </c>
      <c r="B4" s="7" t="s">
        <v>340</v>
      </c>
      <c r="C4">
        <f>2020-2005</f>
        <v>15</v>
      </c>
      <c r="D4">
        <v>0</v>
      </c>
      <c r="E4">
        <v>0</v>
      </c>
      <c r="F4">
        <v>6</v>
      </c>
      <c r="G4">
        <v>12</v>
      </c>
      <c r="J4" t="s">
        <v>1</v>
      </c>
      <c r="K4" s="7" t="s">
        <v>107</v>
      </c>
      <c r="L4">
        <f>7</f>
        <v>7</v>
      </c>
      <c r="M4">
        <v>0</v>
      </c>
      <c r="N4">
        <v>0</v>
      </c>
      <c r="O4">
        <v>0</v>
      </c>
      <c r="P4">
        <v>0</v>
      </c>
    </row>
    <row r="5" spans="1:16" ht="15.45" x14ac:dyDescent="0.4">
      <c r="A5" t="s">
        <v>2</v>
      </c>
      <c r="B5" s="7" t="s">
        <v>105</v>
      </c>
      <c r="C5">
        <f>2020-2004</f>
        <v>16</v>
      </c>
      <c r="D5">
        <v>1</v>
      </c>
      <c r="E5">
        <v>2</v>
      </c>
      <c r="F5">
        <v>7</v>
      </c>
      <c r="G5">
        <v>13</v>
      </c>
      <c r="J5" t="s">
        <v>2</v>
      </c>
      <c r="K5" s="6" t="s">
        <v>108</v>
      </c>
      <c r="L5">
        <f>2019-2005</f>
        <v>14</v>
      </c>
      <c r="M5">
        <v>0</v>
      </c>
      <c r="N5">
        <v>2</v>
      </c>
      <c r="O5">
        <v>6</v>
      </c>
      <c r="P5">
        <v>13</v>
      </c>
    </row>
    <row r="6" spans="1:16" ht="15.45" x14ac:dyDescent="0.4">
      <c r="A6" t="s">
        <v>331</v>
      </c>
      <c r="B6" s="6" t="s">
        <v>198</v>
      </c>
      <c r="C6">
        <f>2020-1995-4</f>
        <v>21</v>
      </c>
      <c r="D6">
        <v>0</v>
      </c>
      <c r="E6">
        <v>1</v>
      </c>
      <c r="F6">
        <v>11</v>
      </c>
      <c r="G6">
        <v>21</v>
      </c>
      <c r="J6" s="3" t="s">
        <v>331</v>
      </c>
      <c r="K6" t="s">
        <v>347</v>
      </c>
      <c r="L6" t="s">
        <v>347</v>
      </c>
      <c r="M6" t="s">
        <v>347</v>
      </c>
      <c r="N6" t="s">
        <v>347</v>
      </c>
      <c r="O6" t="s">
        <v>347</v>
      </c>
      <c r="P6" t="s">
        <v>347</v>
      </c>
    </row>
    <row r="7" spans="1:16" x14ac:dyDescent="0.35">
      <c r="A7" t="s">
        <v>332</v>
      </c>
      <c r="B7" s="7" t="s">
        <v>36</v>
      </c>
      <c r="C7">
        <f>2020-2003</f>
        <v>17</v>
      </c>
      <c r="D7">
        <v>3</v>
      </c>
      <c r="E7">
        <v>5</v>
      </c>
      <c r="F7">
        <v>17</v>
      </c>
      <c r="G7">
        <v>27</v>
      </c>
      <c r="J7" t="s">
        <v>332</v>
      </c>
      <c r="K7" t="s">
        <v>348</v>
      </c>
      <c r="L7">
        <f>2019-2015+5</f>
        <v>9</v>
      </c>
      <c r="M7">
        <v>0</v>
      </c>
      <c r="N7">
        <v>0</v>
      </c>
      <c r="O7">
        <v>0</v>
      </c>
      <c r="P7">
        <v>1</v>
      </c>
    </row>
    <row r="8" spans="1:16" x14ac:dyDescent="0.35">
      <c r="A8" t="s">
        <v>333</v>
      </c>
      <c r="B8" t="s">
        <v>341</v>
      </c>
      <c r="C8">
        <f>2020-2013</f>
        <v>7</v>
      </c>
      <c r="D8">
        <v>0</v>
      </c>
      <c r="E8">
        <v>0</v>
      </c>
      <c r="F8">
        <v>3</v>
      </c>
      <c r="G8">
        <v>7</v>
      </c>
      <c r="J8" t="s">
        <v>333</v>
      </c>
      <c r="K8" t="s">
        <v>349</v>
      </c>
      <c r="L8">
        <v>0</v>
      </c>
      <c r="M8">
        <v>0</v>
      </c>
      <c r="N8">
        <v>0</v>
      </c>
      <c r="O8">
        <v>0</v>
      </c>
      <c r="P8">
        <v>0</v>
      </c>
    </row>
    <row r="9" spans="1:16" x14ac:dyDescent="0.35">
      <c r="A9" t="s">
        <v>334</v>
      </c>
      <c r="B9" t="s">
        <v>342</v>
      </c>
      <c r="C9">
        <f>2020-1999-3</f>
        <v>18</v>
      </c>
      <c r="D9">
        <v>0</v>
      </c>
      <c r="E9">
        <v>1</v>
      </c>
      <c r="F9">
        <v>6</v>
      </c>
      <c r="G9">
        <v>15</v>
      </c>
      <c r="J9" t="s">
        <v>334</v>
      </c>
      <c r="K9" t="s">
        <v>342</v>
      </c>
      <c r="L9">
        <f>2020-1999-4</f>
        <v>17</v>
      </c>
      <c r="M9">
        <v>0</v>
      </c>
      <c r="N9">
        <v>1</v>
      </c>
      <c r="O9">
        <v>5</v>
      </c>
      <c r="P9">
        <v>13</v>
      </c>
    </row>
    <row r="10" spans="1:16" x14ac:dyDescent="0.35">
      <c r="A10" t="s">
        <v>335</v>
      </c>
      <c r="B10" t="s">
        <v>344</v>
      </c>
      <c r="C10">
        <f>2020-2013</f>
        <v>7</v>
      </c>
      <c r="D10">
        <v>0</v>
      </c>
      <c r="E10">
        <v>0</v>
      </c>
      <c r="F10">
        <v>3</v>
      </c>
      <c r="G10">
        <v>7</v>
      </c>
      <c r="J10" t="s">
        <v>335</v>
      </c>
      <c r="K10" t="s">
        <v>350</v>
      </c>
      <c r="L10">
        <f>2019-2007</f>
        <v>12</v>
      </c>
      <c r="M10">
        <v>1</v>
      </c>
      <c r="N10">
        <v>1</v>
      </c>
      <c r="O10">
        <v>9</v>
      </c>
      <c r="P10">
        <v>16</v>
      </c>
    </row>
    <row r="11" spans="1:16" x14ac:dyDescent="0.35">
      <c r="A11" t="s">
        <v>336</v>
      </c>
      <c r="B11" t="s">
        <v>343</v>
      </c>
      <c r="C11">
        <f>2020-2018</f>
        <v>2</v>
      </c>
      <c r="D11">
        <v>0</v>
      </c>
      <c r="E11">
        <v>1</v>
      </c>
      <c r="F11">
        <v>3</v>
      </c>
      <c r="G11">
        <v>5</v>
      </c>
      <c r="J11" t="s">
        <v>336</v>
      </c>
      <c r="K11" t="s">
        <v>351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1:16" x14ac:dyDescent="0.35">
      <c r="A12" t="s">
        <v>337</v>
      </c>
      <c r="B12" t="s">
        <v>162</v>
      </c>
      <c r="C12">
        <f>2020-2001-3</f>
        <v>16</v>
      </c>
      <c r="D12">
        <v>0</v>
      </c>
      <c r="E12">
        <v>0</v>
      </c>
      <c r="F12">
        <v>3</v>
      </c>
      <c r="G12">
        <v>6</v>
      </c>
      <c r="J12" t="s">
        <v>337</v>
      </c>
      <c r="K12" t="s">
        <v>352</v>
      </c>
      <c r="L12">
        <f>2019-2009</f>
        <v>10</v>
      </c>
      <c r="M12">
        <v>1</v>
      </c>
      <c r="N12">
        <v>2</v>
      </c>
      <c r="O12">
        <v>5</v>
      </c>
      <c r="P12">
        <v>11</v>
      </c>
    </row>
    <row r="13" spans="1:16" x14ac:dyDescent="0.35">
      <c r="A13" t="s">
        <v>338</v>
      </c>
      <c r="B13" s="7" t="s">
        <v>339</v>
      </c>
      <c r="C13">
        <f>2020-2002</f>
        <v>18</v>
      </c>
      <c r="D13">
        <v>0</v>
      </c>
      <c r="E13">
        <v>0</v>
      </c>
      <c r="F13">
        <v>2</v>
      </c>
      <c r="G13">
        <v>7</v>
      </c>
      <c r="J13" t="s">
        <v>338</v>
      </c>
      <c r="K13" s="7" t="s">
        <v>353</v>
      </c>
      <c r="L13">
        <f>2020-2002-1</f>
        <v>17</v>
      </c>
      <c r="M13">
        <v>0</v>
      </c>
      <c r="N13">
        <v>0</v>
      </c>
      <c r="O13">
        <v>1</v>
      </c>
      <c r="P13">
        <v>5</v>
      </c>
    </row>
    <row r="14" spans="1:16" ht="15.45" x14ac:dyDescent="0.4">
      <c r="B14" s="4" t="s">
        <v>356</v>
      </c>
      <c r="C14" s="5">
        <f>SUM(C3:C13)</f>
        <v>151</v>
      </c>
      <c r="D14" s="5">
        <f t="shared" ref="D14:G14" si="0">SUM(D3:D13)</f>
        <v>4</v>
      </c>
      <c r="E14" s="5">
        <f t="shared" si="0"/>
        <v>10</v>
      </c>
      <c r="F14" s="5">
        <f t="shared" si="0"/>
        <v>66</v>
      </c>
      <c r="G14" s="5">
        <f t="shared" si="0"/>
        <v>133</v>
      </c>
      <c r="J14" t="s">
        <v>354</v>
      </c>
      <c r="K14" t="s">
        <v>355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 ht="15.45" x14ac:dyDescent="0.4">
      <c r="B15" s="4" t="s">
        <v>357</v>
      </c>
      <c r="C15" s="5">
        <f>AVERAGE(C3:C13)</f>
        <v>13.727272727272727</v>
      </c>
      <c r="D15" s="5">
        <f t="shared" ref="D15:G15" si="1">AVERAGE(D3:D13)</f>
        <v>0.36363636363636365</v>
      </c>
      <c r="E15" s="5">
        <f t="shared" si="1"/>
        <v>0.90909090909090906</v>
      </c>
      <c r="F15" s="5">
        <f t="shared" si="1"/>
        <v>6</v>
      </c>
      <c r="G15" s="5">
        <f t="shared" si="1"/>
        <v>12.090909090909092</v>
      </c>
      <c r="K15" s="4" t="s">
        <v>356</v>
      </c>
      <c r="L15" s="5">
        <f>SUM(L3:L14)</f>
        <v>99</v>
      </c>
      <c r="M15" s="5">
        <f t="shared" ref="M15:P15" si="2">SUM(M3:M14)</f>
        <v>2</v>
      </c>
      <c r="N15" s="5">
        <f t="shared" si="2"/>
        <v>7</v>
      </c>
      <c r="O15" s="5">
        <f t="shared" si="2"/>
        <v>31</v>
      </c>
      <c r="P15" s="5">
        <f t="shared" si="2"/>
        <v>69</v>
      </c>
    </row>
    <row r="16" spans="1:16" ht="15.45" x14ac:dyDescent="0.4">
      <c r="B16" s="4" t="s">
        <v>358</v>
      </c>
      <c r="C16" s="5">
        <f>MEDIAN(C3:C13)</f>
        <v>16</v>
      </c>
      <c r="D16" s="5">
        <f t="shared" ref="D16:G16" si="3">MEDIAN(D3:D13)</f>
        <v>0</v>
      </c>
      <c r="E16" s="5">
        <f t="shared" si="3"/>
        <v>0</v>
      </c>
      <c r="F16" s="5">
        <f t="shared" si="3"/>
        <v>5</v>
      </c>
      <c r="G16" s="5">
        <f t="shared" si="3"/>
        <v>12</v>
      </c>
      <c r="K16" s="4" t="s">
        <v>357</v>
      </c>
      <c r="L16" s="5">
        <f>AVERAGE(L3:L14)</f>
        <v>9</v>
      </c>
      <c r="M16" s="5">
        <f t="shared" ref="M16:P16" si="4">AVERAGE(M3:M14)</f>
        <v>0.18181818181818182</v>
      </c>
      <c r="N16" s="5">
        <f t="shared" si="4"/>
        <v>0.63636363636363635</v>
      </c>
      <c r="O16" s="5">
        <f t="shared" si="4"/>
        <v>2.8181818181818183</v>
      </c>
      <c r="P16" s="5">
        <f t="shared" si="4"/>
        <v>6.2727272727272725</v>
      </c>
    </row>
    <row r="17" spans="2:16" ht="15.45" x14ac:dyDescent="0.4">
      <c r="K17" s="4" t="s">
        <v>358</v>
      </c>
      <c r="L17" s="5">
        <f>MEDIAN(L3:L14)</f>
        <v>10</v>
      </c>
      <c r="M17" s="5">
        <f t="shared" ref="M17:P17" si="5">MEDIAN(M3:M14)</f>
        <v>0</v>
      </c>
      <c r="N17" s="5">
        <f t="shared" si="5"/>
        <v>0</v>
      </c>
      <c r="O17" s="5">
        <f t="shared" si="5"/>
        <v>1</v>
      </c>
      <c r="P17" s="5">
        <f t="shared" si="5"/>
        <v>5</v>
      </c>
    </row>
    <row r="19" spans="2:16" ht="15.45" x14ac:dyDescent="0.4">
      <c r="B19" s="3" t="s">
        <v>369</v>
      </c>
    </row>
    <row r="20" spans="2:16" x14ac:dyDescent="0.35">
      <c r="B20" t="s">
        <v>359</v>
      </c>
    </row>
    <row r="21" spans="2:16" x14ac:dyDescent="0.35">
      <c r="B21" t="s">
        <v>378</v>
      </c>
      <c r="C21">
        <f>2020-2011</f>
        <v>9</v>
      </c>
      <c r="D21">
        <v>1</v>
      </c>
      <c r="E21">
        <v>2</v>
      </c>
      <c r="F21">
        <v>6</v>
      </c>
      <c r="G21">
        <v>9</v>
      </c>
    </row>
    <row r="22" spans="2:16" x14ac:dyDescent="0.35">
      <c r="B22" t="s">
        <v>360</v>
      </c>
      <c r="C22">
        <v>4</v>
      </c>
      <c r="D22">
        <v>0</v>
      </c>
      <c r="E22">
        <v>1</v>
      </c>
      <c r="F22">
        <v>3</v>
      </c>
      <c r="G22">
        <v>5</v>
      </c>
    </row>
    <row r="23" spans="2:16" x14ac:dyDescent="0.35">
      <c r="B23" t="s">
        <v>361</v>
      </c>
      <c r="C23">
        <v>4</v>
      </c>
      <c r="D23">
        <v>0</v>
      </c>
      <c r="E23">
        <v>0</v>
      </c>
      <c r="F23">
        <v>3</v>
      </c>
      <c r="G23">
        <v>5</v>
      </c>
    </row>
    <row r="24" spans="2:16" x14ac:dyDescent="0.35">
      <c r="B24" t="s">
        <v>362</v>
      </c>
      <c r="C24">
        <v>5</v>
      </c>
      <c r="D24">
        <v>0</v>
      </c>
      <c r="E24">
        <v>0</v>
      </c>
      <c r="F24">
        <v>1</v>
      </c>
      <c r="G24">
        <v>2</v>
      </c>
    </row>
    <row r="25" spans="2:16" x14ac:dyDescent="0.35">
      <c r="B25" t="s">
        <v>363</v>
      </c>
      <c r="C25">
        <v>5</v>
      </c>
      <c r="D25">
        <v>0</v>
      </c>
      <c r="E25">
        <v>0</v>
      </c>
      <c r="F25">
        <v>0</v>
      </c>
      <c r="G25">
        <v>1</v>
      </c>
    </row>
    <row r="26" spans="2:16" x14ac:dyDescent="0.35">
      <c r="B26" t="s">
        <v>364</v>
      </c>
      <c r="C26">
        <v>10</v>
      </c>
      <c r="D26">
        <v>0</v>
      </c>
      <c r="E26">
        <v>0</v>
      </c>
      <c r="F26">
        <v>2</v>
      </c>
      <c r="G26">
        <v>5</v>
      </c>
    </row>
    <row r="27" spans="2:16" x14ac:dyDescent="0.35">
      <c r="B27" t="s">
        <v>365</v>
      </c>
      <c r="C27">
        <v>9</v>
      </c>
      <c r="D27">
        <v>1</v>
      </c>
      <c r="E27">
        <v>2</v>
      </c>
      <c r="F27">
        <v>6</v>
      </c>
      <c r="G27">
        <v>8</v>
      </c>
    </row>
    <row r="28" spans="2:16" x14ac:dyDescent="0.35">
      <c r="B28" t="s">
        <v>366</v>
      </c>
      <c r="C28">
        <v>6</v>
      </c>
      <c r="D28">
        <v>0</v>
      </c>
      <c r="E28">
        <v>0</v>
      </c>
      <c r="F28">
        <v>0</v>
      </c>
      <c r="G28">
        <v>2</v>
      </c>
    </row>
    <row r="29" spans="2:16" x14ac:dyDescent="0.35">
      <c r="B29" t="s">
        <v>367</v>
      </c>
      <c r="C29">
        <v>4</v>
      </c>
      <c r="D29">
        <v>0</v>
      </c>
      <c r="E29">
        <v>1</v>
      </c>
      <c r="F29">
        <v>2</v>
      </c>
      <c r="G29">
        <v>3</v>
      </c>
    </row>
    <row r="30" spans="2:16" x14ac:dyDescent="0.35">
      <c r="B30" t="s">
        <v>368</v>
      </c>
      <c r="C30">
        <v>7</v>
      </c>
      <c r="D30">
        <v>0</v>
      </c>
      <c r="E30">
        <v>0</v>
      </c>
      <c r="F30">
        <v>1</v>
      </c>
      <c r="G30">
        <v>2</v>
      </c>
    </row>
    <row r="31" spans="2:16" ht="15.45" x14ac:dyDescent="0.4">
      <c r="B31" s="4" t="s">
        <v>356</v>
      </c>
      <c r="C31" s="5">
        <f>SUM(C19:C30)</f>
        <v>63</v>
      </c>
      <c r="D31" s="5">
        <f>SUM(D19:D30)</f>
        <v>2</v>
      </c>
      <c r="E31" s="5">
        <f>SUM(E19:E30)</f>
        <v>6</v>
      </c>
      <c r="F31" s="5">
        <f>SUM(F19:F30)</f>
        <v>24</v>
      </c>
      <c r="G31" s="5">
        <f>SUM(G19:G30)</f>
        <v>42</v>
      </c>
    </row>
    <row r="32" spans="2:16" ht="15.45" x14ac:dyDescent="0.4">
      <c r="B32" s="4" t="s">
        <v>357</v>
      </c>
      <c r="C32" s="5">
        <f>AVERAGE(C19:C30)</f>
        <v>6.3</v>
      </c>
      <c r="D32" s="5">
        <f>AVERAGE(D19:D30)</f>
        <v>0.2</v>
      </c>
      <c r="E32" s="5">
        <f>AVERAGE(E19:E30)</f>
        <v>0.6</v>
      </c>
      <c r="F32" s="5">
        <f>AVERAGE(F19:F30)</f>
        <v>2.4</v>
      </c>
      <c r="G32" s="5">
        <f>AVERAGE(G19:G30)</f>
        <v>4.2</v>
      </c>
    </row>
    <row r="33" spans="2:7" ht="15.45" x14ac:dyDescent="0.4">
      <c r="B33" s="4" t="s">
        <v>358</v>
      </c>
      <c r="C33" s="5">
        <f>MEDIAN(C19:C30)</f>
        <v>5.5</v>
      </c>
      <c r="D33" s="5">
        <f>MEDIAN(D19:D30)</f>
        <v>0</v>
      </c>
      <c r="E33" s="5">
        <f>MEDIAN(E19:E30)</f>
        <v>0</v>
      </c>
      <c r="F33" s="5">
        <f>MEDIAN(F19:F30)</f>
        <v>2</v>
      </c>
      <c r="G33" s="5">
        <f>MEDIAN(G19:G30)</f>
        <v>4</v>
      </c>
    </row>
    <row r="37" spans="2:7" ht="15.45" x14ac:dyDescent="0.4">
      <c r="B37" s="3" t="s">
        <v>370</v>
      </c>
    </row>
    <row r="38" spans="2:7" x14ac:dyDescent="0.35">
      <c r="B38" t="s">
        <v>371</v>
      </c>
    </row>
    <row r="39" spans="2:7" x14ac:dyDescent="0.35">
      <c r="B39" t="s">
        <v>372</v>
      </c>
      <c r="C39">
        <v>7</v>
      </c>
      <c r="D39">
        <v>0</v>
      </c>
      <c r="E39">
        <v>0</v>
      </c>
      <c r="F39">
        <v>1</v>
      </c>
      <c r="G39">
        <v>5</v>
      </c>
    </row>
    <row r="40" spans="2:7" x14ac:dyDescent="0.35">
      <c r="B40" t="s">
        <v>373</v>
      </c>
      <c r="C40">
        <v>4</v>
      </c>
      <c r="D40">
        <v>0</v>
      </c>
      <c r="E40">
        <v>0</v>
      </c>
      <c r="F40">
        <v>1</v>
      </c>
      <c r="G40">
        <v>3</v>
      </c>
    </row>
    <row r="41" spans="2:7" x14ac:dyDescent="0.35">
      <c r="B41" t="s">
        <v>374</v>
      </c>
      <c r="C41">
        <f>9</f>
        <v>9</v>
      </c>
      <c r="D41">
        <v>1</v>
      </c>
      <c r="E41">
        <v>2</v>
      </c>
      <c r="F41">
        <v>7</v>
      </c>
      <c r="G41">
        <v>12</v>
      </c>
    </row>
    <row r="42" spans="2:7" x14ac:dyDescent="0.35">
      <c r="B42" t="s">
        <v>375</v>
      </c>
      <c r="C42">
        <v>6</v>
      </c>
      <c r="D42">
        <v>0</v>
      </c>
      <c r="E42">
        <v>1</v>
      </c>
      <c r="F42">
        <v>3</v>
      </c>
      <c r="G42">
        <v>7</v>
      </c>
    </row>
    <row r="43" spans="2:7" x14ac:dyDescent="0.35">
      <c r="B43" t="s">
        <v>376</v>
      </c>
      <c r="C43">
        <v>4</v>
      </c>
      <c r="D43">
        <v>0</v>
      </c>
      <c r="E43">
        <v>1</v>
      </c>
      <c r="F43">
        <v>3</v>
      </c>
      <c r="G43">
        <v>6</v>
      </c>
    </row>
    <row r="44" spans="2:7" x14ac:dyDescent="0.35">
      <c r="B44" t="s">
        <v>377</v>
      </c>
      <c r="C44">
        <v>4</v>
      </c>
      <c r="D44">
        <v>0</v>
      </c>
      <c r="E44">
        <v>1</v>
      </c>
      <c r="F44">
        <v>2</v>
      </c>
      <c r="G44">
        <v>4</v>
      </c>
    </row>
    <row r="45" spans="2:7" x14ac:dyDescent="0.35">
      <c r="B45" t="s">
        <v>379</v>
      </c>
      <c r="C45">
        <f>2020-2013</f>
        <v>7</v>
      </c>
      <c r="D45">
        <v>0</v>
      </c>
      <c r="E45">
        <v>0</v>
      </c>
      <c r="F45">
        <v>1</v>
      </c>
      <c r="G45">
        <v>3</v>
      </c>
    </row>
    <row r="46" spans="2:7" ht="15.45" x14ac:dyDescent="0.4">
      <c r="B46" s="4" t="s">
        <v>356</v>
      </c>
      <c r="C46" s="5">
        <f>SUM(C37:C45)</f>
        <v>41</v>
      </c>
      <c r="D46" s="5">
        <f>SUM(D37:D45)</f>
        <v>1</v>
      </c>
      <c r="E46" s="5">
        <f>SUM(E37:E45)</f>
        <v>5</v>
      </c>
      <c r="F46" s="5">
        <f>SUM(F37:F45)</f>
        <v>18</v>
      </c>
      <c r="G46" s="5">
        <f>SUM(G37:G45)</f>
        <v>40</v>
      </c>
    </row>
    <row r="47" spans="2:7" ht="15.45" x14ac:dyDescent="0.4">
      <c r="B47" s="4" t="s">
        <v>357</v>
      </c>
      <c r="C47" s="5">
        <f>AVERAGE(C37:C45)</f>
        <v>5.8571428571428568</v>
      </c>
      <c r="D47" s="5">
        <f>AVERAGE(D37:D45)</f>
        <v>0.14285714285714285</v>
      </c>
      <c r="E47" s="5">
        <f>AVERAGE(E37:E45)</f>
        <v>0.7142857142857143</v>
      </c>
      <c r="F47" s="5">
        <f>AVERAGE(F37:F45)</f>
        <v>2.5714285714285716</v>
      </c>
      <c r="G47" s="5">
        <f>AVERAGE(G37:G45)</f>
        <v>5.7142857142857144</v>
      </c>
    </row>
    <row r="48" spans="2:7" ht="15.45" x14ac:dyDescent="0.4">
      <c r="B48" s="4" t="s">
        <v>358</v>
      </c>
      <c r="C48" s="5">
        <f>MEDIAN(C37:C45)</f>
        <v>6</v>
      </c>
      <c r="D48" s="5">
        <f>MEDIAN(D37:D45)</f>
        <v>0</v>
      </c>
      <c r="E48" s="5">
        <f>MEDIAN(E37:E45)</f>
        <v>1</v>
      </c>
      <c r="F48" s="5">
        <f>MEDIAN(F37:F45)</f>
        <v>2</v>
      </c>
      <c r="G48" s="5">
        <f>MEDIAN(G37:G45)</f>
        <v>5</v>
      </c>
    </row>
  </sheetData>
  <mergeCells count="2">
    <mergeCell ref="A1:B1"/>
    <mergeCell ref="J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NFL</vt:lpstr>
      <vt:lpstr>Tenured</vt:lpstr>
      <vt:lpstr>Browns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Seth Lanza</dc:creator>
  <cp:lastModifiedBy>Seth Lanza</cp:lastModifiedBy>
  <dcterms:created xsi:type="dcterms:W3CDTF">2020-10-10T21:13:44Z</dcterms:created>
  <dcterms:modified xsi:type="dcterms:W3CDTF">2026-01-19T16:16:27Z</dcterms:modified>
</cp:coreProperties>
</file>